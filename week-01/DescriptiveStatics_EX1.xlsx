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disco\Documents\DataAnalytics\week-01\"/>
    </mc:Choice>
  </mc:AlternateContent>
  <xr:revisionPtr revIDLastSave="0" documentId="8_{58640AFA-A6F8-4BF4-BE50-A8D5B302C595}" xr6:coauthVersionLast="47" xr6:coauthVersionMax="47" xr10:uidLastSave="{00000000-0000-0000-0000-000000000000}"/>
  <bookViews>
    <workbookView xWindow="-110" yWindow="-110" windowWidth="25820" windowHeight="13900" xr2:uid="{00000000-000D-0000-FFFF-FFFF00000000}"/>
  </bookViews>
  <sheets>
    <sheet name="Sales_Data" sheetId="1" r:id="rId1"/>
    <sheet name="Exercise"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7" i="1" l="1"/>
  <c r="N26" i="1"/>
  <c r="N24" i="1"/>
  <c r="K27" i="1"/>
  <c r="K26" i="1"/>
  <c r="K25" i="1"/>
  <c r="K24" i="1"/>
  <c r="H26" i="1"/>
  <c r="H25" i="1"/>
  <c r="H24" i="1"/>
  <c r="B26" i="1"/>
  <c r="E25" i="1"/>
  <c r="E24" i="1"/>
  <c r="B28" i="1"/>
  <c r="B25" i="1"/>
  <c r="B24" i="1"/>
</calcChain>
</file>

<file path=xl/sharedStrings.xml><?xml version="1.0" encoding="utf-8"?>
<sst xmlns="http://schemas.openxmlformats.org/spreadsheetml/2006/main" count="139" uniqueCount="89">
  <si>
    <t>Order_ID</t>
  </si>
  <si>
    <t>Region</t>
  </si>
  <si>
    <t>Sales_Rep</t>
  </si>
  <si>
    <t>Product_Category</t>
  </si>
  <si>
    <t>Units_Sold</t>
  </si>
  <si>
    <t>Unit_Price</t>
  </si>
  <si>
    <t>Revenue</t>
  </si>
  <si>
    <t>Customer_Rating</t>
  </si>
  <si>
    <t>North</t>
  </si>
  <si>
    <t>Adams</t>
  </si>
  <si>
    <t>Electronics</t>
  </si>
  <si>
    <t>South</t>
  </si>
  <si>
    <t>Brown</t>
  </si>
  <si>
    <t>Furniture</t>
  </si>
  <si>
    <t>East</t>
  </si>
  <si>
    <t>Chen</t>
  </si>
  <si>
    <t>West</t>
  </si>
  <si>
    <t>Diaz</t>
  </si>
  <si>
    <t>Office Supplies</t>
  </si>
  <si>
    <t>Business Analytics Exercise: Descriptive Statistics</t>
  </si>
  <si>
    <t>Scenario:</t>
  </si>
  <si>
    <t>You are a junior data analyst working for a retail company that sells electronics,</t>
  </si>
  <si>
    <t>furniture, and office supplies. Management wants to better understand sales</t>
  </si>
  <si>
    <t>performance across regions, product categories, and sales representatives.</t>
  </si>
  <si>
    <t>Your task is to use descriptive statistics in Excel to analyze the dataset and</t>
  </si>
  <si>
    <t>provide insights that help management make business decisions.</t>
  </si>
  <si>
    <t>Part 1: Descriptive Statistics</t>
  </si>
  <si>
    <t>Calculate the following for the Revenue column:</t>
  </si>
  <si>
    <t>Average Revenue</t>
  </si>
  <si>
    <t>Median Revenue</t>
  </si>
  <si>
    <t>Minimum Revenue</t>
  </si>
  <si>
    <t>Maximum Revenue</t>
  </si>
  <si>
    <t>Range of Revenue</t>
  </si>
  <si>
    <t>Standard Deviation of Revenue</t>
  </si>
  <si>
    <t>Part 2: Business Scenarios</t>
  </si>
  <si>
    <t>Scenario A – Regional Performance</t>
  </si>
  <si>
    <t>Management wants to know which region generates the highest revenue.</t>
  </si>
  <si>
    <t>1. Calculate the average revenue by region.</t>
  </si>
  <si>
    <t>2. Which region performs the best?</t>
  </si>
  <si>
    <t>3. What recommendation would you give management?</t>
  </si>
  <si>
    <t>Scenario B – Product Category Insights</t>
  </si>
  <si>
    <t>The company wants to understand which product category generates the most revenue.</t>
  </si>
  <si>
    <t>1. Calculate the average revenue for each product category.</t>
  </si>
  <si>
    <t>2. Which category performs best?</t>
  </si>
  <si>
    <t>3. Which category appears weakest?</t>
  </si>
  <si>
    <t>Scenario C – Sales Representative Performance</t>
  </si>
  <si>
    <t>Managers want to evaluate sales representative performance.</t>
  </si>
  <si>
    <t>1. Calculate the total or average revenue generated by each sales representative.</t>
  </si>
  <si>
    <t>2. Which representative performs best?</t>
  </si>
  <si>
    <t>3. What factors might explain the differences?</t>
  </si>
  <si>
    <t>Scenario D – Customer Satisfaction</t>
  </si>
  <si>
    <t>Customer ratings represent satisfaction scores from 1 to 5.</t>
  </si>
  <si>
    <t>1. Calculate the average customer rating.</t>
  </si>
  <si>
    <t>2. Identify the minimum and maximum ratings.</t>
  </si>
  <si>
    <t>3. What might management infer about customer satisfaction?</t>
  </si>
  <si>
    <t>Part 3: Interpretation</t>
  </si>
  <si>
    <t>Write a short summary (4–6 sentences) explaining the key insights</t>
  </si>
  <si>
    <t>you discovered from the descriptive statistics.</t>
  </si>
  <si>
    <t>Average</t>
  </si>
  <si>
    <t>Median</t>
  </si>
  <si>
    <t>Minimum</t>
  </si>
  <si>
    <t xml:space="preserve">Maximum: </t>
  </si>
  <si>
    <t>Range</t>
  </si>
  <si>
    <t>Standard Deviation</t>
  </si>
  <si>
    <t>Average Revenue For North Region</t>
  </si>
  <si>
    <t>Average Revenue for South Region</t>
  </si>
  <si>
    <t>Average Revenue for West Region</t>
  </si>
  <si>
    <t>1. Average Revenue For East Region</t>
  </si>
  <si>
    <t xml:space="preserve">2. The region that performs the best would be the West Region since they have the highest average revenue out of the four regions. </t>
  </si>
  <si>
    <t xml:space="preserve">3. My recommendation for management would be to evaluate what marketing strategies that the stores within the West Region employ to garner that much revenuie for the company and to see if employing those same strategies would yield the same results for the stores within the other three regions. </t>
  </si>
  <si>
    <t>Average Revenue for Furniture</t>
  </si>
  <si>
    <t>Average Revenue for Office Supplies</t>
  </si>
  <si>
    <t xml:space="preserve">2. The category that performs the best would be furniture. </t>
  </si>
  <si>
    <t xml:space="preserve">3. The category that seems to be the weakest would be office supplies. </t>
  </si>
  <si>
    <t>1. Average Revenue For Electronics</t>
  </si>
  <si>
    <t xml:space="preserve">1. Average for Chen </t>
  </si>
  <si>
    <t xml:space="preserve">Average for Adams </t>
  </si>
  <si>
    <t>Average for Brown</t>
  </si>
  <si>
    <t>Average for Diaz</t>
  </si>
  <si>
    <t xml:space="preserve">2. The representative that performs the best is Adams. </t>
  </si>
  <si>
    <t xml:space="preserve">3. The factors that might explain the difference is the categories of product in which the sales representative is selling  much greater. </t>
  </si>
  <si>
    <t>1. Average Customer Rating</t>
  </si>
  <si>
    <t>2. Minimum Rating</t>
  </si>
  <si>
    <t>Maximum Rating</t>
  </si>
  <si>
    <t xml:space="preserve">3. What management might infer about customer satisfaction is that while the customers are satisfied with the service, there is still some room for improvement. </t>
  </si>
  <si>
    <t>Part 2: Scenario A</t>
  </si>
  <si>
    <t>Part 2: Scenario B</t>
  </si>
  <si>
    <t>Part 2: Scenario C</t>
  </si>
  <si>
    <t>Part 2: Scenario 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</si>
</sst>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3"/>
      <name val="Calibri"/>
      <family val="2"/>
      <scheme val="minor"/>
    </font>
    <font>
      <b/>
      <sz val="12"/>
      <color theme="1"/>
      <name val="Calibri"/>
      <family val="2"/>
      <scheme val="minor"/>
    </font>
  </fonts>
  <fills count="2">
    <fill>
      <patternFill patternType="none"/>
    </fill>
    <fill>
      <patternFill patternType="gray125"/>
    </fill>
  </fills>
  <borders count="2">
    <border>
      <left/>
      <right/>
      <top/>
      <bottom/>
      <diagonal/>
    </border>
    <border>
      <left/>
      <right/>
      <top/>
      <bottom style="medium">
        <color theme="4" tint="0.39997558519241921"/>
      </bottom>
      <diagonal/>
    </border>
  </borders>
  <cellStyleXfs count="2">
    <xf numFmtId="0" fontId="0" fillId="0" borderId="0"/>
    <xf numFmtId="0" fontId="1" fillId="0" borderId="1" applyNumberFormat="0" applyFill="0" applyAlignment="0" applyProtection="0"/>
  </cellStyleXfs>
  <cellXfs count="7">
    <xf numFmtId="0" fontId="0" fillId="0" borderId="0" xfId="0"/>
    <xf numFmtId="0" fontId="0" fillId="0" borderId="0" xfId="0" applyAlignment="1">
      <alignment horizontal="center"/>
    </xf>
    <xf numFmtId="0" fontId="1" fillId="0" borderId="1" xfId="1"/>
    <xf numFmtId="0" fontId="0" fillId="0" borderId="0" xfId="0" applyAlignment="1">
      <alignment wrapText="1"/>
    </xf>
    <xf numFmtId="0" fontId="0" fillId="0" borderId="0" xfId="0" applyAlignment="1"/>
    <xf numFmtId="2" fontId="0" fillId="0" borderId="0" xfId="0" applyNumberFormat="1"/>
    <xf numFmtId="0" fontId="2" fillId="0" borderId="0" xfId="0" applyFont="1"/>
  </cellXfs>
  <cellStyles count="2">
    <cellStyle name="Heading 3" xfId="1" builtinId="1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6"/>
  <sheetViews>
    <sheetView tabSelected="1" topLeftCell="A9" workbookViewId="0">
      <selection activeCell="J30" sqref="J30"/>
    </sheetView>
  </sheetViews>
  <sheetFormatPr defaultRowHeight="14.5" x14ac:dyDescent="0.35"/>
  <cols>
    <col min="1" max="1" width="29.36328125" customWidth="1"/>
    <col min="2" max="2" width="7.1796875" bestFit="1" customWidth="1"/>
    <col min="4" max="4" width="30.36328125" customWidth="1"/>
    <col min="5" max="5" width="10.453125" bestFit="1" customWidth="1"/>
    <col min="6" max="6" width="10.1796875" bestFit="1" customWidth="1"/>
    <col min="7" max="7" width="30.453125" customWidth="1"/>
    <col min="8" max="8" width="16.26953125" bestFit="1" customWidth="1"/>
    <col min="10" max="10" width="16.90625" customWidth="1"/>
    <col min="13" max="13" width="23.7265625" customWidth="1"/>
  </cols>
  <sheetData>
    <row r="1" spans="1:8" ht="24" customHeight="1" thickBot="1" x14ac:dyDescent="0.4">
      <c r="A1" s="2" t="s">
        <v>0</v>
      </c>
      <c r="B1" s="2" t="s">
        <v>1</v>
      </c>
      <c r="C1" s="2" t="s">
        <v>2</v>
      </c>
      <c r="D1" s="2" t="s">
        <v>3</v>
      </c>
      <c r="E1" s="2" t="s">
        <v>4</v>
      </c>
      <c r="F1" s="2" t="s">
        <v>5</v>
      </c>
      <c r="G1" s="2" t="s">
        <v>6</v>
      </c>
      <c r="H1" s="2" t="s">
        <v>7</v>
      </c>
    </row>
    <row r="2" spans="1:8" x14ac:dyDescent="0.35">
      <c r="A2" s="1">
        <v>1001</v>
      </c>
      <c r="B2" t="s">
        <v>14</v>
      </c>
      <c r="C2" t="s">
        <v>15</v>
      </c>
      <c r="D2" t="s">
        <v>10</v>
      </c>
      <c r="E2" s="1">
        <v>3</v>
      </c>
      <c r="F2">
        <v>300</v>
      </c>
      <c r="G2">
        <v>900</v>
      </c>
      <c r="H2" s="1">
        <v>3.9</v>
      </c>
    </row>
    <row r="3" spans="1:8" x14ac:dyDescent="0.35">
      <c r="A3" s="1">
        <v>1002</v>
      </c>
      <c r="B3" t="s">
        <v>14</v>
      </c>
      <c r="C3" t="s">
        <v>15</v>
      </c>
      <c r="D3" t="s">
        <v>10</v>
      </c>
      <c r="E3" s="1">
        <v>5</v>
      </c>
      <c r="F3">
        <v>305</v>
      </c>
      <c r="G3">
        <v>1525</v>
      </c>
      <c r="H3" s="1">
        <v>4.0999999999999996</v>
      </c>
    </row>
    <row r="4" spans="1:8" x14ac:dyDescent="0.35">
      <c r="A4" s="1">
        <v>1003</v>
      </c>
      <c r="B4" t="s">
        <v>14</v>
      </c>
      <c r="C4" t="s">
        <v>15</v>
      </c>
      <c r="D4" t="s">
        <v>10</v>
      </c>
      <c r="E4" s="1">
        <v>5</v>
      </c>
      <c r="F4">
        <v>320</v>
      </c>
      <c r="G4">
        <v>1600</v>
      </c>
      <c r="H4" s="1">
        <v>4.5</v>
      </c>
    </row>
    <row r="5" spans="1:8" x14ac:dyDescent="0.35">
      <c r="A5" s="1">
        <v>1004</v>
      </c>
      <c r="B5" t="s">
        <v>14</v>
      </c>
      <c r="C5" t="s">
        <v>15</v>
      </c>
      <c r="D5" t="s">
        <v>10</v>
      </c>
      <c r="E5" s="1">
        <v>7</v>
      </c>
      <c r="F5">
        <v>315</v>
      </c>
      <c r="G5">
        <v>2205</v>
      </c>
      <c r="H5" s="1">
        <v>4.2</v>
      </c>
    </row>
    <row r="6" spans="1:8" x14ac:dyDescent="0.35">
      <c r="A6" s="1">
        <v>1005</v>
      </c>
      <c r="B6" t="s">
        <v>14</v>
      </c>
      <c r="C6" t="s">
        <v>15</v>
      </c>
      <c r="D6" t="s">
        <v>10</v>
      </c>
      <c r="E6" s="1">
        <v>4</v>
      </c>
      <c r="F6">
        <v>310</v>
      </c>
      <c r="G6" s="4">
        <v>1240</v>
      </c>
      <c r="H6" s="1">
        <v>3.8</v>
      </c>
    </row>
    <row r="7" spans="1:8" x14ac:dyDescent="0.35">
      <c r="A7" s="1">
        <v>1006</v>
      </c>
      <c r="B7" t="s">
        <v>8</v>
      </c>
      <c r="C7" t="s">
        <v>9</v>
      </c>
      <c r="D7" t="s">
        <v>10</v>
      </c>
      <c r="E7" s="1">
        <v>3</v>
      </c>
      <c r="F7">
        <v>299</v>
      </c>
      <c r="G7">
        <v>897</v>
      </c>
      <c r="H7" s="1">
        <v>3.7</v>
      </c>
    </row>
    <row r="8" spans="1:8" x14ac:dyDescent="0.35">
      <c r="A8" s="1">
        <v>1007</v>
      </c>
      <c r="B8" t="s">
        <v>8</v>
      </c>
      <c r="C8" t="s">
        <v>9</v>
      </c>
      <c r="D8" t="s">
        <v>10</v>
      </c>
      <c r="E8" s="1">
        <v>6</v>
      </c>
      <c r="F8">
        <v>295</v>
      </c>
      <c r="G8">
        <v>1770</v>
      </c>
      <c r="H8" s="1">
        <v>4.4000000000000004</v>
      </c>
    </row>
    <row r="9" spans="1:8" x14ac:dyDescent="0.35">
      <c r="A9" s="1">
        <v>1008</v>
      </c>
      <c r="B9" t="s">
        <v>8</v>
      </c>
      <c r="C9" t="s">
        <v>9</v>
      </c>
      <c r="D9" t="s">
        <v>10</v>
      </c>
      <c r="E9" s="1">
        <v>8</v>
      </c>
      <c r="F9">
        <v>310</v>
      </c>
      <c r="G9">
        <v>2480</v>
      </c>
      <c r="H9" s="1">
        <v>4.4000000000000004</v>
      </c>
    </row>
    <row r="10" spans="1:8" x14ac:dyDescent="0.35">
      <c r="A10" s="1">
        <v>1009</v>
      </c>
      <c r="B10" t="s">
        <v>8</v>
      </c>
      <c r="C10" t="s">
        <v>9</v>
      </c>
      <c r="D10" t="s">
        <v>13</v>
      </c>
      <c r="E10" s="1">
        <v>2</v>
      </c>
      <c r="F10">
        <v>950</v>
      </c>
      <c r="G10">
        <v>1900</v>
      </c>
      <c r="H10" s="1">
        <v>4.3</v>
      </c>
    </row>
    <row r="11" spans="1:8" x14ac:dyDescent="0.35">
      <c r="A11" s="1">
        <v>1010</v>
      </c>
      <c r="B11" t="s">
        <v>8</v>
      </c>
      <c r="C11" t="s">
        <v>9</v>
      </c>
      <c r="D11" t="s">
        <v>13</v>
      </c>
      <c r="E11" s="1">
        <v>1</v>
      </c>
      <c r="F11">
        <v>1200</v>
      </c>
      <c r="G11">
        <v>1200</v>
      </c>
      <c r="H11" s="1">
        <v>4.0999999999999996</v>
      </c>
    </row>
    <row r="12" spans="1:8" x14ac:dyDescent="0.35">
      <c r="A12" s="1">
        <v>1011</v>
      </c>
      <c r="B12" t="s">
        <v>11</v>
      </c>
      <c r="C12" t="s">
        <v>12</v>
      </c>
      <c r="D12" t="s">
        <v>13</v>
      </c>
      <c r="E12" s="1">
        <v>2</v>
      </c>
      <c r="F12">
        <v>850</v>
      </c>
      <c r="G12">
        <v>1700</v>
      </c>
      <c r="H12" s="1">
        <v>4.2</v>
      </c>
    </row>
    <row r="13" spans="1:8" x14ac:dyDescent="0.35">
      <c r="A13" s="1">
        <v>1012</v>
      </c>
      <c r="B13" t="s">
        <v>11</v>
      </c>
      <c r="C13" t="s">
        <v>12</v>
      </c>
      <c r="D13" t="s">
        <v>13</v>
      </c>
      <c r="E13" s="1">
        <v>3</v>
      </c>
      <c r="F13">
        <v>900</v>
      </c>
      <c r="G13" s="4">
        <v>2700</v>
      </c>
      <c r="H13" s="1">
        <v>4</v>
      </c>
    </row>
    <row r="14" spans="1:8" x14ac:dyDescent="0.35">
      <c r="A14" s="1">
        <v>1013</v>
      </c>
      <c r="B14" t="s">
        <v>11</v>
      </c>
      <c r="C14" t="s">
        <v>12</v>
      </c>
      <c r="D14" t="s">
        <v>13</v>
      </c>
      <c r="E14" s="1">
        <v>2</v>
      </c>
      <c r="F14">
        <v>980</v>
      </c>
      <c r="G14">
        <v>1960</v>
      </c>
      <c r="H14" s="1">
        <v>3.9</v>
      </c>
    </row>
    <row r="15" spans="1:8" x14ac:dyDescent="0.35">
      <c r="A15" s="1">
        <v>1014</v>
      </c>
      <c r="B15" t="s">
        <v>11</v>
      </c>
      <c r="C15" t="s">
        <v>12</v>
      </c>
      <c r="D15" t="s">
        <v>18</v>
      </c>
      <c r="E15" s="1">
        <v>15</v>
      </c>
      <c r="F15">
        <v>22</v>
      </c>
      <c r="G15">
        <v>330</v>
      </c>
      <c r="H15" s="1">
        <v>4.5999999999999996</v>
      </c>
    </row>
    <row r="16" spans="1:8" x14ac:dyDescent="0.35">
      <c r="A16" s="1">
        <v>1015</v>
      </c>
      <c r="B16" t="s">
        <v>11</v>
      </c>
      <c r="C16" t="s">
        <v>12</v>
      </c>
      <c r="D16" t="s">
        <v>18</v>
      </c>
      <c r="E16" s="1">
        <v>19</v>
      </c>
      <c r="F16">
        <v>23</v>
      </c>
      <c r="G16">
        <v>437</v>
      </c>
      <c r="H16" s="1">
        <v>4.5</v>
      </c>
    </row>
    <row r="17" spans="1:14" x14ac:dyDescent="0.35">
      <c r="A17" s="1">
        <v>1016</v>
      </c>
      <c r="B17" t="s">
        <v>16</v>
      </c>
      <c r="C17" t="s">
        <v>17</v>
      </c>
      <c r="D17" t="s">
        <v>18</v>
      </c>
      <c r="E17" s="1">
        <v>18</v>
      </c>
      <c r="F17">
        <v>24</v>
      </c>
      <c r="G17">
        <v>432</v>
      </c>
      <c r="H17" s="1">
        <v>4.8</v>
      </c>
    </row>
    <row r="18" spans="1:14" x14ac:dyDescent="0.35">
      <c r="A18" s="1">
        <v>1017</v>
      </c>
      <c r="B18" t="s">
        <v>16</v>
      </c>
      <c r="C18" t="s">
        <v>17</v>
      </c>
      <c r="D18" t="s">
        <v>18</v>
      </c>
      <c r="E18" s="1">
        <v>22</v>
      </c>
      <c r="F18">
        <v>24</v>
      </c>
      <c r="G18">
        <v>528</v>
      </c>
      <c r="H18" s="1">
        <v>4.7</v>
      </c>
    </row>
    <row r="19" spans="1:14" x14ac:dyDescent="0.35">
      <c r="A19" s="1">
        <v>1018</v>
      </c>
      <c r="B19" t="s">
        <v>16</v>
      </c>
      <c r="C19" t="s">
        <v>17</v>
      </c>
      <c r="D19" t="s">
        <v>18</v>
      </c>
      <c r="E19" s="1">
        <v>30</v>
      </c>
      <c r="F19">
        <v>21</v>
      </c>
      <c r="G19" s="4">
        <v>630</v>
      </c>
      <c r="H19" s="1">
        <v>4.5999999999999996</v>
      </c>
    </row>
    <row r="20" spans="1:14" x14ac:dyDescent="0.35">
      <c r="A20" s="1">
        <v>1019</v>
      </c>
      <c r="B20" t="s">
        <v>16</v>
      </c>
      <c r="C20" t="s">
        <v>17</v>
      </c>
      <c r="D20" t="s">
        <v>18</v>
      </c>
      <c r="E20" s="1">
        <v>20</v>
      </c>
      <c r="F20">
        <v>25</v>
      </c>
      <c r="G20">
        <v>500</v>
      </c>
      <c r="H20" s="1">
        <v>4.7</v>
      </c>
    </row>
    <row r="21" spans="1:14" x14ac:dyDescent="0.35">
      <c r="A21" s="1">
        <v>1020</v>
      </c>
      <c r="B21" t="s">
        <v>16</v>
      </c>
      <c r="C21" t="s">
        <v>17</v>
      </c>
      <c r="D21" t="s">
        <v>18</v>
      </c>
      <c r="E21" s="1">
        <v>25</v>
      </c>
      <c r="F21">
        <v>23</v>
      </c>
      <c r="G21">
        <v>575</v>
      </c>
      <c r="H21" s="1">
        <v>4.9000000000000004</v>
      </c>
    </row>
    <row r="23" spans="1:14" ht="15.5" x14ac:dyDescent="0.35">
      <c r="A23" s="6" t="s">
        <v>26</v>
      </c>
      <c r="G23" s="6" t="s">
        <v>86</v>
      </c>
      <c r="J23" s="6" t="s">
        <v>87</v>
      </c>
      <c r="M23" s="6" t="s">
        <v>88</v>
      </c>
    </row>
    <row r="24" spans="1:14" x14ac:dyDescent="0.35">
      <c r="A24" t="s">
        <v>58</v>
      </c>
      <c r="B24">
        <f>AVERAGE(G2:G21)</f>
        <v>1275.45</v>
      </c>
      <c r="D24" t="s">
        <v>60</v>
      </c>
      <c r="E24">
        <f>MIN(G2:G21)</f>
        <v>330</v>
      </c>
      <c r="G24" t="s">
        <v>74</v>
      </c>
      <c r="H24" s="5">
        <f>AVERAGE(G2:G9)</f>
        <v>1577.125</v>
      </c>
      <c r="J24" t="s">
        <v>75</v>
      </c>
      <c r="K24">
        <f>AVERAGE(G2:G6)</f>
        <v>1494</v>
      </c>
      <c r="M24" t="s">
        <v>81</v>
      </c>
      <c r="N24">
        <f>AVERAGE(H2:H21)</f>
        <v>4.3150000000000004</v>
      </c>
    </row>
    <row r="25" spans="1:14" x14ac:dyDescent="0.35">
      <c r="A25" t="s">
        <v>59</v>
      </c>
      <c r="B25">
        <f>MEDIAN(G2:G21)</f>
        <v>1220</v>
      </c>
      <c r="D25" t="s">
        <v>61</v>
      </c>
      <c r="E25">
        <f>MAX(G2:G21)</f>
        <v>2700</v>
      </c>
      <c r="G25" t="s">
        <v>70</v>
      </c>
      <c r="H25">
        <f>AVERAGE(G10:G14)</f>
        <v>1892</v>
      </c>
      <c r="J25" t="s">
        <v>76</v>
      </c>
      <c r="K25">
        <f>AVERAGE(G7:G11)</f>
        <v>1649.4</v>
      </c>
    </row>
    <row r="26" spans="1:14" x14ac:dyDescent="0.35">
      <c r="A26" t="s">
        <v>63</v>
      </c>
      <c r="B26">
        <f>_xlfn.STDEV.P(G2:G21)</f>
        <v>723.26022115141927</v>
      </c>
      <c r="G26" t="s">
        <v>71</v>
      </c>
      <c r="H26" s="5">
        <f>AVERAGE(G15:G21)</f>
        <v>490.28571428571428</v>
      </c>
      <c r="J26" t="s">
        <v>77</v>
      </c>
      <c r="K26">
        <f>AVERAGE(G12:G16)</f>
        <v>1425.4</v>
      </c>
      <c r="M26" t="s">
        <v>82</v>
      </c>
      <c r="N26">
        <f>MIN(H2:H21)</f>
        <v>3.7</v>
      </c>
    </row>
    <row r="27" spans="1:14" ht="15.5" x14ac:dyDescent="0.35">
      <c r="A27" s="6" t="s">
        <v>85</v>
      </c>
      <c r="J27" t="s">
        <v>78</v>
      </c>
      <c r="K27">
        <f>AVERAGE(G17:G21)</f>
        <v>533</v>
      </c>
      <c r="M27" t="s">
        <v>83</v>
      </c>
      <c r="N27">
        <f>MAX(H2:H21)</f>
        <v>4.9000000000000004</v>
      </c>
    </row>
    <row r="28" spans="1:14" hidden="1" x14ac:dyDescent="0.35">
      <c r="A28" t="s">
        <v>62</v>
      </c>
      <c r="B28">
        <f>SUM(G2:G21)</f>
        <v>25509</v>
      </c>
    </row>
    <row r="29" spans="1:14" ht="58" x14ac:dyDescent="0.35">
      <c r="A29" t="s">
        <v>67</v>
      </c>
      <c r="B29">
        <v>1018.4</v>
      </c>
      <c r="G29" s="3" t="s">
        <v>72</v>
      </c>
      <c r="J29" s="3" t="s">
        <v>79</v>
      </c>
    </row>
    <row r="30" spans="1:14" ht="99.5" customHeight="1" x14ac:dyDescent="0.35">
      <c r="A30" t="s">
        <v>64</v>
      </c>
      <c r="B30">
        <v>1193</v>
      </c>
      <c r="D30" s="3"/>
      <c r="G30" s="3" t="s">
        <v>73</v>
      </c>
      <c r="M30" s="3" t="s">
        <v>84</v>
      </c>
    </row>
    <row r="31" spans="1:14" ht="130.5" x14ac:dyDescent="0.35">
      <c r="A31" t="s">
        <v>65</v>
      </c>
      <c r="B31">
        <v>1433.4</v>
      </c>
      <c r="J31" s="3" t="s">
        <v>80</v>
      </c>
    </row>
    <row r="32" spans="1:14" x14ac:dyDescent="0.35">
      <c r="A32" t="s">
        <v>66</v>
      </c>
      <c r="B32">
        <v>1457</v>
      </c>
      <c r="D32" s="3"/>
    </row>
    <row r="34" spans="1:1" ht="72.5" x14ac:dyDescent="0.35">
      <c r="A34" s="3" t="s">
        <v>68</v>
      </c>
    </row>
    <row r="35" spans="1:1" ht="16" customHeight="1" x14ac:dyDescent="0.35"/>
    <row r="36" spans="1:1" ht="159.5" x14ac:dyDescent="0.35">
      <c r="A36" s="3" t="s">
        <v>69</v>
      </c>
    </row>
  </sheetData>
  <sortState xmlns:xlrd2="http://schemas.microsoft.com/office/spreadsheetml/2017/richdata2" ref="D2:H21">
    <sortCondition ref="D1:D21"/>
  </sortState>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48"/>
  <sheetViews>
    <sheetView topLeftCell="A4" workbookViewId="0">
      <selection activeCell="E30" sqref="E30"/>
    </sheetView>
  </sheetViews>
  <sheetFormatPr defaultRowHeight="14.5" x14ac:dyDescent="0.35"/>
  <sheetData>
    <row r="1" spans="1:1" x14ac:dyDescent="0.35">
      <c r="A1" t="s">
        <v>19</v>
      </c>
    </row>
    <row r="3" spans="1:1" x14ac:dyDescent="0.35">
      <c r="A3" t="s">
        <v>20</v>
      </c>
    </row>
    <row r="4" spans="1:1" x14ac:dyDescent="0.35">
      <c r="A4" t="s">
        <v>21</v>
      </c>
    </row>
    <row r="5" spans="1:1" x14ac:dyDescent="0.35">
      <c r="A5" t="s">
        <v>22</v>
      </c>
    </row>
    <row r="6" spans="1:1" x14ac:dyDescent="0.35">
      <c r="A6" t="s">
        <v>23</v>
      </c>
    </row>
    <row r="8" spans="1:1" x14ac:dyDescent="0.35">
      <c r="A8" t="s">
        <v>24</v>
      </c>
    </row>
    <row r="9" spans="1:1" x14ac:dyDescent="0.35">
      <c r="A9" t="s">
        <v>25</v>
      </c>
    </row>
    <row r="11" spans="1:1" x14ac:dyDescent="0.35">
      <c r="A11" t="s">
        <v>26</v>
      </c>
    </row>
    <row r="12" spans="1:1" x14ac:dyDescent="0.35">
      <c r="A12" t="s">
        <v>27</v>
      </c>
    </row>
    <row r="13" spans="1:1" x14ac:dyDescent="0.35">
      <c r="A13" t="s">
        <v>28</v>
      </c>
    </row>
    <row r="14" spans="1:1" x14ac:dyDescent="0.35">
      <c r="A14" t="s">
        <v>29</v>
      </c>
    </row>
    <row r="15" spans="1:1" x14ac:dyDescent="0.35">
      <c r="A15" t="s">
        <v>30</v>
      </c>
    </row>
    <row r="16" spans="1:1" x14ac:dyDescent="0.35">
      <c r="A16" t="s">
        <v>31</v>
      </c>
    </row>
    <row r="17" spans="1:1" x14ac:dyDescent="0.35">
      <c r="A17" t="s">
        <v>32</v>
      </c>
    </row>
    <row r="18" spans="1:1" x14ac:dyDescent="0.35">
      <c r="A18" t="s">
        <v>33</v>
      </c>
    </row>
    <row r="20" spans="1:1" x14ac:dyDescent="0.35">
      <c r="A20" t="s">
        <v>34</v>
      </c>
    </row>
    <row r="22" spans="1:1" x14ac:dyDescent="0.35">
      <c r="A22" t="s">
        <v>35</v>
      </c>
    </row>
    <row r="23" spans="1:1" x14ac:dyDescent="0.35">
      <c r="A23" t="s">
        <v>36</v>
      </c>
    </row>
    <row r="24" spans="1:1" x14ac:dyDescent="0.35">
      <c r="A24" t="s">
        <v>37</v>
      </c>
    </row>
    <row r="25" spans="1:1" x14ac:dyDescent="0.35">
      <c r="A25" t="s">
        <v>38</v>
      </c>
    </row>
    <row r="26" spans="1:1" x14ac:dyDescent="0.35">
      <c r="A26" t="s">
        <v>39</v>
      </c>
    </row>
    <row r="28" spans="1:1" x14ac:dyDescent="0.35">
      <c r="A28" t="s">
        <v>40</v>
      </c>
    </row>
    <row r="29" spans="1:1" x14ac:dyDescent="0.35">
      <c r="A29" t="s">
        <v>41</v>
      </c>
    </row>
    <row r="30" spans="1:1" x14ac:dyDescent="0.35">
      <c r="A30" t="s">
        <v>42</v>
      </c>
    </row>
    <row r="31" spans="1:1" x14ac:dyDescent="0.35">
      <c r="A31" t="s">
        <v>43</v>
      </c>
    </row>
    <row r="32" spans="1:1" x14ac:dyDescent="0.35">
      <c r="A32" t="s">
        <v>44</v>
      </c>
    </row>
    <row r="34" spans="1:1" x14ac:dyDescent="0.35">
      <c r="A34" t="s">
        <v>45</v>
      </c>
    </row>
    <row r="35" spans="1:1" x14ac:dyDescent="0.35">
      <c r="A35" t="s">
        <v>46</v>
      </c>
    </row>
    <row r="36" spans="1:1" x14ac:dyDescent="0.35">
      <c r="A36" t="s">
        <v>47</v>
      </c>
    </row>
    <row r="37" spans="1:1" x14ac:dyDescent="0.35">
      <c r="A37" t="s">
        <v>48</v>
      </c>
    </row>
    <row r="38" spans="1:1" x14ac:dyDescent="0.35">
      <c r="A38" t="s">
        <v>49</v>
      </c>
    </row>
    <row r="40" spans="1:1" x14ac:dyDescent="0.35">
      <c r="A40" t="s">
        <v>50</v>
      </c>
    </row>
    <row r="41" spans="1:1" x14ac:dyDescent="0.35">
      <c r="A41" t="s">
        <v>51</v>
      </c>
    </row>
    <row r="42" spans="1:1" x14ac:dyDescent="0.35">
      <c r="A42" t="s">
        <v>52</v>
      </c>
    </row>
    <row r="43" spans="1:1" x14ac:dyDescent="0.35">
      <c r="A43" t="s">
        <v>53</v>
      </c>
    </row>
    <row r="44" spans="1:1" x14ac:dyDescent="0.35">
      <c r="A44" t="s">
        <v>54</v>
      </c>
    </row>
    <row r="46" spans="1:1" x14ac:dyDescent="0.35">
      <c r="A46" t="s">
        <v>55</v>
      </c>
    </row>
    <row r="47" spans="1:1" x14ac:dyDescent="0.35">
      <c r="A47" t="s">
        <v>56</v>
      </c>
    </row>
    <row r="48" spans="1:1" x14ac:dyDescent="0.35">
      <c r="A48" t="s">
        <v>57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Sales_Data</vt:lpstr>
      <vt:lpstr>Exercise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Maia Black</cp:lastModifiedBy>
  <cp:revision/>
  <dcterms:created xsi:type="dcterms:W3CDTF">2026-04-07T19:25:39Z</dcterms:created>
  <dcterms:modified xsi:type="dcterms:W3CDTF">2026-04-08T19:58:50Z</dcterms:modified>
  <cp:category/>
  <cp:contentStatus/>
</cp:coreProperties>
</file>