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isco\Downloads\"/>
    </mc:Choice>
  </mc:AlternateContent>
  <xr:revisionPtr revIDLastSave="0" documentId="13_ncr:1_{4F49DCF9-85B4-43C7-998D-7DC8984DEE2C}" xr6:coauthVersionLast="47" xr6:coauthVersionMax="47" xr10:uidLastSave="{00000000-0000-0000-0000-000000000000}"/>
  <bookViews>
    <workbookView xWindow="-110" yWindow="-110" windowWidth="25820" windowHeight="13900" activeTab="2" xr2:uid="{00000000-000D-0000-FFFF-FFFF00000000}"/>
  </bookViews>
  <sheets>
    <sheet name="Sheet1" sheetId="1" r:id="rId1"/>
    <sheet name="Sheet2" sheetId="2" r:id="rId2"/>
    <sheet name="Sheet3" sheetId="4" r:id="rId3"/>
  </sheets>
  <calcPr calcId="191029"/>
  <pivotCaches>
    <pivotCache cacheId="3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 l="1"/>
  <c r="P6" i="1"/>
  <c r="Q6" i="1"/>
  <c r="R6" i="1"/>
  <c r="S6" i="1"/>
  <c r="O6" i="1"/>
  <c r="T7" i="1"/>
  <c r="S7" i="1"/>
  <c r="R7" i="1"/>
  <c r="Q7" i="1"/>
  <c r="P7" i="1"/>
  <c r="O7" i="1"/>
  <c r="D3" i="1"/>
  <c r="D4" i="1"/>
  <c r="D5" i="1"/>
  <c r="D2" i="1"/>
</calcChain>
</file>

<file path=xl/sharedStrings.xml><?xml version="1.0" encoding="utf-8"?>
<sst xmlns="http://schemas.openxmlformats.org/spreadsheetml/2006/main" count="112" uniqueCount="79">
  <si>
    <t>ID</t>
  </si>
  <si>
    <t>Start time</t>
  </si>
  <si>
    <t>Completion time</t>
  </si>
  <si>
    <t>Email</t>
  </si>
  <si>
    <t>Name</t>
  </si>
  <si>
    <t>Last modified time</t>
  </si>
  <si>
    <t>How long have you been a customer?</t>
  </si>
  <si>
    <t>What other establishments were you a patron of before us?</t>
  </si>
  <si>
    <t>How often do you frequent our restaurant?</t>
  </si>
  <si>
    <t>What has made you become a regular?</t>
  </si>
  <si>
    <t>What are some strength and growth areas that you have noticed?</t>
  </si>
  <si>
    <t>Do our growth areas outweigh our strengths?</t>
  </si>
  <si>
    <t>How was your most recent dining experience with us? </t>
  </si>
  <si>
    <t>Food quality</t>
  </si>
  <si>
    <t>Service</t>
  </si>
  <si>
    <t>Atmosphere</t>
  </si>
  <si>
    <t>Cleanliness</t>
  </si>
  <si>
    <t>Value for money</t>
  </si>
  <si>
    <t>How likely are you to continue being a patron of our restaurant?</t>
  </si>
  <si>
    <t>How likely are you to recommend Vortex Bar and Grill to others?</t>
  </si>
  <si>
    <t>Do you have any additional comments or feedback for us?</t>
  </si>
  <si>
    <t>How old are you?</t>
  </si>
  <si>
    <t>Where are you located?</t>
  </si>
  <si>
    <t>By what gender do you identify?</t>
  </si>
  <si>
    <t>Thank you for sharing your time with us. We may reach out to follow up with you on your feedback. Please leave your email address below if you'd like to communicate with us in the future.</t>
  </si>
  <si>
    <t>anonymous</t>
  </si>
  <si>
    <t>6 - 12 months</t>
  </si>
  <si>
    <t>Polaris, The Sun Dial Restaurant, Bar &amp; View</t>
  </si>
  <si>
    <t>Seasonal</t>
  </si>
  <si>
    <t>Food quality is always good. One improvement would be customer service consistency. Some staff are very welcoming while some are less friendly than expected.</t>
  </si>
  <si>
    <t>Yes</t>
  </si>
  <si>
    <t>Food was excellent.</t>
  </si>
  <si>
    <t>Extremely satisfied</t>
  </si>
  <si>
    <t>Satisfied</t>
  </si>
  <si>
    <t>Very likely</t>
  </si>
  <si>
    <t>26 - 35</t>
  </si>
  <si>
    <t>&lt; 6 months</t>
  </si>
  <si>
    <t xml:space="preserve">crafty crab
longhorn stake house </t>
  </si>
  <si>
    <t>Yearly</t>
  </si>
  <si>
    <t>The steaks and the customer service!</t>
  </si>
  <si>
    <t>Great steaks, okay prices but could be better!</t>
  </si>
  <si>
    <t>No</t>
  </si>
  <si>
    <t>Fantastic the customer service was exceptional.</t>
  </si>
  <si>
    <t>Neutral</t>
  </si>
  <si>
    <t>No additional comments at this time.</t>
  </si>
  <si>
    <t xml:space="preserve">Maryland </t>
  </si>
  <si>
    <t>Man</t>
  </si>
  <si>
    <t>2 - 5 years</t>
  </si>
  <si>
    <t>Applebees</t>
  </si>
  <si>
    <t>Weekly</t>
  </si>
  <si>
    <t>the service</t>
  </si>
  <si>
    <t>I love the detail to service</t>
  </si>
  <si>
    <t>amazing</t>
  </si>
  <si>
    <t>Somewhat likely</t>
  </si>
  <si>
    <t>queens</t>
  </si>
  <si>
    <t>Non-binary</t>
  </si>
  <si>
    <t>1 - 2 years</t>
  </si>
  <si>
    <t>Robertos Pizza Grill, Brix Restaurant &amp; Pizza Bar</t>
  </si>
  <si>
    <t>Monthly</t>
  </si>
  <si>
    <t>The fresh and well-cooked food</t>
  </si>
  <si>
    <t>I liked the comfortable and clean tables, and the friendly staff</t>
  </si>
  <si>
    <t xml:space="preserve">It was satisfied </t>
  </si>
  <si>
    <t>Add more deals and discount</t>
  </si>
  <si>
    <t>New Jersey</t>
  </si>
  <si>
    <t>Woman</t>
  </si>
  <si>
    <t>dkabakibi@my.yearupunited.org</t>
  </si>
  <si>
    <t xml:space="preserve">Question: </t>
  </si>
  <si>
    <t xml:space="preserve">Answer: </t>
  </si>
  <si>
    <t>3A. The first three columns were auto-generated by Microsoft Forms. What do each of
these columns represent? Why do you think the “id” column was included?</t>
  </si>
  <si>
    <t xml:space="preserve">Each of these columns represent the amount of people that took the survey, what time people took the survey, and what time the survey was completed by them.  I think the "ID" column was added because it's giving an ID to the person that is taking the survey while also keeping count of how many that have done so. </t>
  </si>
  <si>
    <t>4B. Use the drop-down to change the data type to Short Date. What happens to the
column text?</t>
  </si>
  <si>
    <t xml:space="preserve">The date becomes shortened within the column. </t>
  </si>
  <si>
    <t>4C. Now change the drop-down back to General. What happens?</t>
  </si>
  <si>
    <t>Time to Complete</t>
  </si>
  <si>
    <t xml:space="preserve">The data becomes values. </t>
  </si>
  <si>
    <t>Row Labels</t>
  </si>
  <si>
    <t>Grand Total</t>
  </si>
  <si>
    <t>Count of Where are you located?</t>
  </si>
  <si>
    <t>Count of How old are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</si>
</sst>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7" formatCode="mm/dd/yy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0" xfId="0" applyNumberFormat="1"/>
    <xf numFmtId="167" fontId="0" fillId="0" borderId="0" xfId="0" applyNumberFormat="1"/>
    <xf numFmtId="4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7" formatCode="mm/dd/yyyy\ h:mm:ss"/>
    </dxf>
    <dxf>
      <numFmt numFmtId="167" formatCode="mm/dd/yyyy\ h:mm:ss"/>
    </dxf>
    <dxf>
      <numFmt numFmtId="167" formatCode="mm/dd/yyyy\ h:mm:ss"/>
    </dxf>
    <dxf>
      <numFmt numFmtId="0" formatCode="Genera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7" formatCode="mm/dd/yy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7" formatCode="mm/dd/yyyy\ h:mm:ss"/>
    </dxf>
    <dxf>
      <numFmt numFmtId="167" formatCode="mm/dd/yy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[Vortex Bar &amp; Grill Steak Customer Satisfaction Survey(1-4).xlsx]Sheet3!PivotTable3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lt1"/>
            </a:solidFill>
            <a:ln w="1587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Count of Where are you located?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Sheet3!$A$4:$A$9</c:f>
              <c:multiLvlStrCache>
                <c:ptCount val="3"/>
                <c:lvl>
                  <c:pt idx="0">
                    <c:v>Extremely satisfied</c:v>
                  </c:pt>
                  <c:pt idx="1">
                    <c:v>Satisfied</c:v>
                  </c:pt>
                  <c:pt idx="2">
                    <c:v>Extremely satisfied</c:v>
                  </c:pt>
                </c:lvl>
                <c:lvl>
                  <c:pt idx="0">
                    <c:v>Neutral</c:v>
                  </c:pt>
                  <c:pt idx="2">
                    <c:v>Satisfied</c:v>
                  </c:pt>
                </c:lvl>
              </c:multiLvlStrCache>
            </c:multiLvlStrRef>
          </c:cat>
          <c:val>
            <c:numRef>
              <c:f>Sheet3!$B$4:$B$9</c:f>
              <c:numCache>
                <c:formatCode>General</c:formatCode>
                <c:ptCount val="3"/>
                <c:pt idx="0">
                  <c:v>1</c:v>
                </c:pt>
                <c:pt idx="1">
                  <c:v>1</c:v>
                </c:pt>
                <c:pt idx="2">
                  <c:v>1</c:v>
                </c:pt>
              </c:numCache>
            </c:numRef>
          </c:val>
          <c:extLst>
            <c:ext xmlns:c16="http://schemas.microsoft.com/office/drawing/2014/chart" uri="{C3380CC4-5D6E-409C-BE32-E72D297353CC}">
              <c16:uniqueId val="{00000008-6C02-42F8-B8A0-43EA20386E10}"/>
            </c:ext>
          </c:extLst>
        </c:ser>
        <c:ser>
          <c:idx val="1"/>
          <c:order val="1"/>
          <c:tx>
            <c:strRef>
              <c:f>Sheet3!$C$3</c:f>
              <c:strCache>
                <c:ptCount val="1"/>
                <c:pt idx="0">
                  <c:v>Count of How old are you?</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Sheet3!$A$4:$A$9</c:f>
              <c:multiLvlStrCache>
                <c:ptCount val="3"/>
                <c:lvl>
                  <c:pt idx="0">
                    <c:v>Extremely satisfied</c:v>
                  </c:pt>
                  <c:pt idx="1">
                    <c:v>Satisfied</c:v>
                  </c:pt>
                  <c:pt idx="2">
                    <c:v>Extremely satisfied</c:v>
                  </c:pt>
                </c:lvl>
                <c:lvl>
                  <c:pt idx="0">
                    <c:v>Neutral</c:v>
                  </c:pt>
                  <c:pt idx="2">
                    <c:v>Satisfied</c:v>
                  </c:pt>
                </c:lvl>
              </c:multiLvlStrCache>
            </c:multiLvlStrRef>
          </c:cat>
          <c:val>
            <c:numRef>
              <c:f>Sheet3!$C$4:$C$9</c:f>
              <c:numCache>
                <c:formatCode>General</c:formatCode>
                <c:ptCount val="3"/>
                <c:pt idx="0">
                  <c:v>1</c:v>
                </c:pt>
                <c:pt idx="1">
                  <c:v>1</c:v>
                </c:pt>
                <c:pt idx="2">
                  <c:v>2</c:v>
                </c:pt>
              </c:numCache>
            </c:numRef>
          </c:val>
          <c:extLst>
            <c:ext xmlns:c16="http://schemas.microsoft.com/office/drawing/2014/chart" uri="{C3380CC4-5D6E-409C-BE32-E72D297353CC}">
              <c16:uniqueId val="{0000000A-6C02-42F8-B8A0-43EA20386E10}"/>
            </c:ext>
          </c:extLst>
        </c:ser>
        <c:dLbls>
          <c:dLblPos val="outEnd"/>
          <c:showLegendKey val="0"/>
          <c:showVal val="1"/>
          <c:showCatName val="0"/>
          <c:showSerName val="0"/>
          <c:showPercent val="0"/>
          <c:showBubbleSize val="0"/>
        </c:dLbls>
        <c:gapWidth val="267"/>
        <c:overlap val="-43"/>
        <c:axId val="1219147248"/>
        <c:axId val="1219146768"/>
      </c:barChart>
      <c:catAx>
        <c:axId val="12191472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19146768"/>
        <c:crosses val="autoZero"/>
        <c:auto val="1"/>
        <c:lblAlgn val="ctr"/>
        <c:lblOffset val="100"/>
        <c:noMultiLvlLbl val="0"/>
      </c:catAx>
      <c:valAx>
        <c:axId val="12191467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1914724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6350</xdr:rowOff>
    </xdr:from>
    <xdr:to>
      <xdr:col>3</xdr:col>
      <xdr:colOff>285750</xdr:colOff>
      <xdr:row>24</xdr:row>
      <xdr:rowOff>171450</xdr:rowOff>
    </xdr:to>
    <xdr:graphicFrame macro="">
      <xdr:nvGraphicFramePr>
        <xdr:cNvPr id="2" name="Chart 1">
          <a:extLst>
            <a:ext uri="{FF2B5EF4-FFF2-40B4-BE49-F238E27FC236}">
              <a16:creationId xmlns:a16="http://schemas.microsoft.com/office/drawing/2014/main" id="{3A705FE5-19C8-59C1-B2A9-FAADCB85A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a Black" refreshedDate="46121.914916319445" createdVersion="8" refreshedVersion="8" minRefreshableVersion="3" recordCount="4" xr:uid="{D7B4A65F-7E43-4DE9-8D9B-09FFA14DF4F9}">
  <cacheSource type="worksheet">
    <worksheetSource name="Table1"/>
  </cacheSource>
  <cacheFields count="26">
    <cacheField name="ID" numFmtId="0">
      <sharedItems containsSemiMixedTypes="0" containsString="0" containsNumber="1" containsInteger="1" minValue="1" maxValue="4"/>
    </cacheField>
    <cacheField name="Start time" numFmtId="167">
      <sharedItems containsSemiMixedTypes="0" containsNonDate="0" containsDate="1" containsString="0" minDate="2026-04-08T16:21:19" maxDate="2026-04-08T22:42:20"/>
    </cacheField>
    <cacheField name="Completion time" numFmtId="167">
      <sharedItems containsSemiMixedTypes="0" containsNonDate="0" containsDate="1" containsString="0" minDate="2026-04-08T16:29:12" maxDate="2026-04-11T16:29:12"/>
    </cacheField>
    <cacheField name="Time to Complete" numFmtId="45">
      <sharedItems containsSemiMixedTypes="0" containsNonDate="0" containsDate="1" containsString="0" minDate="1899-12-30T00:07:53" maxDate="1900-01-01T17:46:52"/>
    </cacheField>
    <cacheField name="Email" numFmtId="0">
      <sharedItems/>
    </cacheField>
    <cacheField name="Name" numFmtId="0">
      <sharedItems containsNonDate="0" containsString="0" containsBlank="1"/>
    </cacheField>
    <cacheField name="Last modified time" numFmtId="164">
      <sharedItems containsNonDate="0" containsString="0" containsBlank="1"/>
    </cacheField>
    <cacheField name="How long have you been a customer?" numFmtId="0">
      <sharedItems/>
    </cacheField>
    <cacheField name="What other establishments were you a patron of before us?" numFmtId="0">
      <sharedItems/>
    </cacheField>
    <cacheField name="How often do you frequent our restaurant?" numFmtId="0">
      <sharedItems count="4">
        <s v="Seasonal"/>
        <s v="Yearly"/>
        <s v="Weekly"/>
        <s v="Monthly"/>
      </sharedItems>
    </cacheField>
    <cacheField name="What has made you become a regular?" numFmtId="0">
      <sharedItems/>
    </cacheField>
    <cacheField name="What are some strength and growth areas that you have noticed?" numFmtId="0">
      <sharedItems/>
    </cacheField>
    <cacheField name="Do our growth areas outweigh our strengths?" numFmtId="0">
      <sharedItems count="2">
        <s v="Yes"/>
        <s v="No"/>
      </sharedItems>
    </cacheField>
    <cacheField name="How was your most recent dining experience with us? " numFmtId="0">
      <sharedItems/>
    </cacheField>
    <cacheField name="Food quality" numFmtId="0">
      <sharedItems/>
    </cacheField>
    <cacheField name="Service" numFmtId="0">
      <sharedItems count="3">
        <s v="Satisfied"/>
        <s v="Extremely satisfied"/>
        <s v="Neutral"/>
      </sharedItems>
    </cacheField>
    <cacheField name="Atmosphere" numFmtId="0">
      <sharedItems count="2">
        <s v="Satisfied"/>
        <s v="Extremely satisfied"/>
      </sharedItems>
    </cacheField>
    <cacheField name="Cleanliness" numFmtId="0">
      <sharedItems count="2">
        <s v="Extremely satisfied"/>
        <s v="Satisfied"/>
      </sharedItems>
    </cacheField>
    <cacheField name="Value for money" numFmtId="0">
      <sharedItems count="2">
        <s v="Satisfied"/>
        <s v="Neutral"/>
      </sharedItems>
    </cacheField>
    <cacheField name="How likely are you to continue being a patron of our restaurant?" numFmtId="0">
      <sharedItems count="2">
        <s v="Very likely"/>
        <s v="Somewhat likely"/>
      </sharedItems>
    </cacheField>
    <cacheField name="How likely are you to recommend Vortex Bar and Grill to others?" numFmtId="0">
      <sharedItems containsSemiMixedTypes="0" containsString="0" containsNumber="1" containsInteger="1" minValue="7" maxValue="10"/>
    </cacheField>
    <cacheField name="Do you have any additional comments or feedback for us?" numFmtId="0">
      <sharedItems containsBlank="1" count="3">
        <m/>
        <s v="No additional comments at this time."/>
        <s v="Add more deals and discount"/>
      </sharedItems>
    </cacheField>
    <cacheField name="How old are you?" numFmtId="0">
      <sharedItems count="1">
        <s v="26 - 35"/>
      </sharedItems>
    </cacheField>
    <cacheField name="Where are you located?" numFmtId="0">
      <sharedItems containsBlank="1" count="4">
        <m/>
        <s v="Maryland "/>
        <s v="queens"/>
        <s v="New Jersey"/>
      </sharedItems>
    </cacheField>
    <cacheField name="By what gender do you identify?" numFmtId="0">
      <sharedItems containsBlank="1" count="4">
        <m/>
        <s v="Man"/>
        <s v="Non-binary"/>
        <s v="Woman"/>
      </sharedItems>
    </cacheField>
    <cacheField name="Thank you for sharing your time with us. We may reach out to follow up with you on your feedback. Please leave your email address below if you'd like to communicate with us in the futu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d v="2026-04-08T16:21:19"/>
    <d v="2026-04-08T16:29:12"/>
    <d v="1899-12-30T00:07:53"/>
    <s v="anonymous"/>
    <m/>
    <m/>
    <s v="6 - 12 months"/>
    <s v="Polaris, The Sun Dial Restaurant, Bar &amp; View"/>
    <x v="0"/>
    <s v="Food quality"/>
    <s v="Food quality is always good. One improvement would be customer service consistency. Some staff are very welcoming while some are less friendly than expected."/>
    <x v="0"/>
    <s v="Food was excellent."/>
    <s v="Extremely satisfied"/>
    <x v="0"/>
    <x v="0"/>
    <x v="0"/>
    <x v="0"/>
    <x v="0"/>
    <n v="7"/>
    <x v="0"/>
    <x v="0"/>
    <x v="0"/>
    <x v="0"/>
    <m/>
  </r>
  <r>
    <n v="2"/>
    <d v="2026-04-08T18:22:07"/>
    <d v="2026-04-09T16:29:12"/>
    <d v="1899-12-30T22:07:05"/>
    <s v="anonymous"/>
    <m/>
    <m/>
    <s v="&lt; 6 months"/>
    <s v="crafty crab_x000a_longhorn stake house "/>
    <x v="1"/>
    <s v="The steaks and the customer service!"/>
    <s v="Great steaks, okay prices but could be better!"/>
    <x v="1"/>
    <s v="Fantastic the customer service was exceptional."/>
    <s v="Extremely satisfied"/>
    <x v="1"/>
    <x v="1"/>
    <x v="0"/>
    <x v="1"/>
    <x v="0"/>
    <n v="10"/>
    <x v="1"/>
    <x v="0"/>
    <x v="1"/>
    <x v="1"/>
    <m/>
  </r>
  <r>
    <n v="3"/>
    <d v="2026-04-08T19:10:08"/>
    <d v="2026-04-10T16:29:12"/>
    <d v="1899-12-31T21:19:04"/>
    <s v="anonymous"/>
    <m/>
    <m/>
    <s v="2 - 5 years"/>
    <s v="Applebees"/>
    <x v="2"/>
    <s v="the service"/>
    <s v="I love the detail to service"/>
    <x v="0"/>
    <s v="amazing"/>
    <s v="Satisfied"/>
    <x v="1"/>
    <x v="0"/>
    <x v="1"/>
    <x v="1"/>
    <x v="1"/>
    <n v="9"/>
    <x v="0"/>
    <x v="0"/>
    <x v="2"/>
    <x v="2"/>
    <m/>
  </r>
  <r>
    <n v="4"/>
    <d v="2026-04-08T22:42:20"/>
    <d v="2026-04-11T16:29:12"/>
    <d v="1900-01-01T17:46:52"/>
    <s v="anonymous"/>
    <m/>
    <m/>
    <s v="1 - 2 years"/>
    <s v="Robertos Pizza Grill, Brix Restaurant &amp; Pizza Bar"/>
    <x v="3"/>
    <s v="The fresh and well-cooked food"/>
    <s v="I liked the comfortable and clean tables, and the friendly staff"/>
    <x v="0"/>
    <s v="It was satisfied "/>
    <s v="Extremely satisfied"/>
    <x v="2"/>
    <x v="0"/>
    <x v="0"/>
    <x v="0"/>
    <x v="0"/>
    <n v="10"/>
    <x v="2"/>
    <x v="0"/>
    <x v="3"/>
    <x v="3"/>
    <s v="dkabakibi@my.yearupunited.or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75830-139B-49F8-931B-4861B9BF6F00}"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26">
    <pivotField showAll="0"/>
    <pivotField numFmtId="167" showAll="0"/>
    <pivotField numFmtId="167" showAll="0"/>
    <pivotField numFmtId="45"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axis="axisRow" showAll="0">
      <items count="3">
        <item x="0"/>
        <item x="1"/>
        <item t="default"/>
      </items>
    </pivotField>
    <pivotField axis="axisRow" showAll="0">
      <items count="3">
        <item x="1"/>
        <item x="0"/>
        <item t="default"/>
      </items>
    </pivotField>
    <pivotField showAll="0"/>
    <pivotField showAll="0"/>
    <pivotField showAll="0">
      <items count="4">
        <item x="2"/>
        <item x="1"/>
        <item x="0"/>
        <item t="default"/>
      </items>
    </pivotField>
    <pivotField dataField="1" showAll="0">
      <items count="2">
        <item x="0"/>
        <item t="default"/>
      </items>
    </pivotField>
    <pivotField dataField="1" showAll="0">
      <items count="5">
        <item x="1"/>
        <item x="3"/>
        <item x="2"/>
        <item x="0"/>
        <item t="default"/>
      </items>
    </pivotField>
    <pivotField showAll="0">
      <items count="5">
        <item x="1"/>
        <item x="2"/>
        <item x="3"/>
        <item x="0"/>
        <item t="default"/>
      </items>
    </pivotField>
    <pivotField showAll="0"/>
  </pivotFields>
  <rowFields count="2">
    <field x="18"/>
    <field x="17"/>
  </rowFields>
  <rowItems count="6">
    <i>
      <x/>
    </i>
    <i r="1">
      <x/>
    </i>
    <i r="1">
      <x v="1"/>
    </i>
    <i>
      <x v="1"/>
    </i>
    <i r="1">
      <x/>
    </i>
    <i t="grand">
      <x/>
    </i>
  </rowItems>
  <colFields count="1">
    <field x="-2"/>
  </colFields>
  <colItems count="2">
    <i>
      <x/>
    </i>
    <i i="1">
      <x v="1"/>
    </i>
  </colItems>
  <dataFields count="2">
    <dataField name="Count of Where are you located?" fld="23" subtotal="count" baseField="0" baseItem="0"/>
    <dataField name="Count of How old are you?" fld="22" subtotal="count" baseField="0" baseItem="0"/>
  </dataFields>
  <chartFormats count="2">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6" totalsRowCount="1">
  <autoFilter ref="A1:Z5" xr:uid="{00000000-0009-0000-0100-000001000000}"/>
  <tableColumns count="26">
    <tableColumn id="1" xr3:uid="{00000000-0010-0000-0000-000001000000}" name="ID" dataDxfId="56" totalsRowDxfId="25"/>
    <tableColumn id="2" xr3:uid="{00000000-0010-0000-0000-000002000000}" name="Start time" dataDxfId="55" totalsRowDxfId="24"/>
    <tableColumn id="3" xr3:uid="{00000000-0010-0000-0000-000003000000}" name="Completion time" dataDxfId="54" totalsRowDxfId="23"/>
    <tableColumn id="28" xr3:uid="{ED08768F-7693-494B-A3E1-1FF049372826}" name="Time to Complete" dataDxfId="31" totalsRowDxfId="22">
      <calculatedColumnFormula>C2-B2</calculatedColumnFormula>
    </tableColumn>
    <tableColumn id="4" xr3:uid="{00000000-0010-0000-0000-000004000000}" name="Email" dataDxfId="53" totalsRowDxfId="21"/>
    <tableColumn id="5" xr3:uid="{00000000-0010-0000-0000-000005000000}" name="Name" dataDxfId="52" totalsRowDxfId="20"/>
    <tableColumn id="6" xr3:uid="{00000000-0010-0000-0000-000006000000}" name="Last modified time" dataDxfId="51" totalsRowDxfId="19"/>
    <tableColumn id="7" xr3:uid="{00000000-0010-0000-0000-000007000000}" name="How long have you been a customer?" dataDxfId="50" totalsRowDxfId="18"/>
    <tableColumn id="8" xr3:uid="{00000000-0010-0000-0000-000008000000}" name="What other establishments were you a patron of before us?" dataDxfId="49" totalsRowDxfId="17"/>
    <tableColumn id="9" xr3:uid="{00000000-0010-0000-0000-000009000000}" name="How often do you frequent our restaurant?" dataDxfId="48" totalsRowDxfId="16"/>
    <tableColumn id="10" xr3:uid="{00000000-0010-0000-0000-00000A000000}" name="What has made you become a regular?" dataDxfId="47" totalsRowDxfId="15"/>
    <tableColumn id="11" xr3:uid="{00000000-0010-0000-0000-00000B000000}" name="What are some strength and growth areas that you have noticed?" dataDxfId="46" totalsRowDxfId="14"/>
    <tableColumn id="12" xr3:uid="{00000000-0010-0000-0000-00000C000000}" name="Do our growth areas outweigh our strengths?" dataDxfId="45" totalsRowDxfId="13"/>
    <tableColumn id="13" xr3:uid="{00000000-0010-0000-0000-00000D000000}" name="How was your most recent dining experience with us? " dataDxfId="44" totalsRowDxfId="12"/>
    <tableColumn id="14" xr3:uid="{00000000-0010-0000-0000-00000E000000}" name="Food quality" totalsRowFunction="custom" dataDxfId="43" totalsRowDxfId="11">
      <totalsRowFormula>SUM(COUNTIF(Table1[Food quality], "Extremely satisfied"), COUNTIF(Table1[Food quality], "Satisfied"))</totalsRowFormula>
    </tableColumn>
    <tableColumn id="15" xr3:uid="{00000000-0010-0000-0000-00000F000000}" name="Service" totalsRowFunction="custom" dataDxfId="42" totalsRowDxfId="10">
      <totalsRowFormula>SUM(COUNTIF(Table1[Service], "Extremely satisfied"), COUNTIF(Table1[Service], "Satisfied"))</totalsRowFormula>
    </tableColumn>
    <tableColumn id="16" xr3:uid="{00000000-0010-0000-0000-000010000000}" name="Atmosphere" totalsRowFunction="custom" dataDxfId="41" totalsRowDxfId="9">
      <totalsRowFormula>SUM(COUNTIF(Table1[Atmosphere], "Extremely satisfied"), COUNTIF(Table1[Atmosphere], "Satisfied"))</totalsRowFormula>
    </tableColumn>
    <tableColumn id="17" xr3:uid="{00000000-0010-0000-0000-000011000000}" name="Cleanliness" totalsRowFunction="custom" dataDxfId="40" totalsRowDxfId="8">
      <totalsRowFormula>SUM(COUNTIF(Table1[Cleanliness], "Extremely satisfied"), COUNTIF(Table1[Cleanliness], "Satisfied"))</totalsRowFormula>
    </tableColumn>
    <tableColumn id="18" xr3:uid="{00000000-0010-0000-0000-000012000000}" name="Value for money" totalsRowFunction="custom" dataDxfId="39" totalsRowDxfId="7">
      <totalsRowFormula>SUM(COUNTIF(Table1[Value for money], "Extremely satisfied"), COUNTIF(Table1[Value for money], "Satisfied"))</totalsRowFormula>
    </tableColumn>
    <tableColumn id="19" xr3:uid="{00000000-0010-0000-0000-000013000000}" name="How likely are you to continue being a patron of our restaurant?" totalsRowFunction="custom" dataDxfId="38" totalsRowDxfId="6">
      <totalsRowFormula>SUM(COUNTIF(Table1[How likely are you to continue being a patron of our restaurant?], "Very likely"), COUNTIF(Table1[How likely are you to continue being a patron of our restaurant?], "Somewhat likely"))</totalsRowFormula>
    </tableColumn>
    <tableColumn id="20" xr3:uid="{00000000-0010-0000-0000-000014000000}" name="How likely are you to recommend Vortex Bar and Grill to others?" dataDxfId="37" totalsRowDxfId="5"/>
    <tableColumn id="21" xr3:uid="{00000000-0010-0000-0000-000015000000}" name="Do you have any additional comments or feedback for us?" dataDxfId="36" totalsRowDxfId="4"/>
    <tableColumn id="22" xr3:uid="{00000000-0010-0000-0000-000016000000}" name="How old are you?" dataDxfId="35" totalsRowDxfId="3"/>
    <tableColumn id="23" xr3:uid="{00000000-0010-0000-0000-000017000000}" name="Where are you located?" dataDxfId="34" totalsRowDxfId="2"/>
    <tableColumn id="24" xr3:uid="{00000000-0010-0000-0000-000018000000}" name="By what gender do you identify?" dataDxfId="33" totalsRowDxfId="1"/>
    <tableColumn id="25" xr3:uid="{00000000-0010-0000-0000-000019000000}" name="Thank you for sharing your time with us. We may reach out to follow up with you on your feedback. Please leave your email address below if you'd like to communicate with us in the future." dataDxfId="32"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
  <sheetViews>
    <sheetView workbookViewId="0">
      <selection activeCell="A5" sqref="A1:Z5"/>
    </sheetView>
  </sheetViews>
  <sheetFormatPr defaultRowHeight="14.5" x14ac:dyDescent="0.35"/>
  <cols>
    <col min="1" max="2" width="20" bestFit="1" customWidth="1"/>
    <col min="3" max="4" width="19.90625" customWidth="1"/>
    <col min="5" max="7" width="20" bestFit="1" customWidth="1"/>
    <col min="8" max="8" width="48.36328125" customWidth="1"/>
    <col min="9" max="9" width="56.453125" customWidth="1"/>
    <col min="10" max="10" width="20" bestFit="1" customWidth="1"/>
    <col min="11" max="11" width="65" customWidth="1"/>
    <col min="12" max="12" width="144.453125" customWidth="1"/>
    <col min="13" max="13" width="20" bestFit="1" customWidth="1"/>
    <col min="14" max="14" width="53.26953125" customWidth="1"/>
    <col min="15" max="19" width="20" bestFit="1" customWidth="1"/>
    <col min="20" max="20" width="68.36328125" customWidth="1"/>
    <col min="21" max="21" width="48.90625" customWidth="1"/>
    <col min="22" max="22" width="47.54296875" customWidth="1"/>
    <col min="23" max="24" width="20" bestFit="1" customWidth="1"/>
    <col min="25" max="25" width="37.90625" customWidth="1"/>
    <col min="26" max="26" width="28.7265625" customWidth="1"/>
  </cols>
  <sheetData>
    <row r="1" spans="1:26" x14ac:dyDescent="0.35">
      <c r="A1" t="s">
        <v>0</v>
      </c>
      <c r="B1" s="2" t="s">
        <v>1</v>
      </c>
      <c r="C1" t="s">
        <v>2</v>
      </c>
      <c r="D1" t="s">
        <v>73</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row>
    <row r="2" spans="1:26" x14ac:dyDescent="0.35">
      <c r="A2">
        <v>1</v>
      </c>
      <c r="B2" s="5">
        <v>46120.681469907402</v>
      </c>
      <c r="C2" s="5">
        <v>46120.686944444402</v>
      </c>
      <c r="D2" s="6">
        <f>C2-B2</f>
        <v>5.4745369998272508E-3</v>
      </c>
      <c r="E2" t="s">
        <v>25</v>
      </c>
      <c r="G2" s="1"/>
      <c r="H2" t="s">
        <v>26</v>
      </c>
      <c r="I2" t="s">
        <v>27</v>
      </c>
      <c r="J2" t="s">
        <v>28</v>
      </c>
      <c r="K2" t="s">
        <v>13</v>
      </c>
      <c r="L2" t="s">
        <v>29</v>
      </c>
      <c r="M2" t="s">
        <v>30</v>
      </c>
      <c r="N2" t="s">
        <v>31</v>
      </c>
      <c r="O2" t="s">
        <v>32</v>
      </c>
      <c r="P2" t="s">
        <v>33</v>
      </c>
      <c r="Q2" t="s">
        <v>33</v>
      </c>
      <c r="R2" t="s">
        <v>32</v>
      </c>
      <c r="S2" t="s">
        <v>33</v>
      </c>
      <c r="T2" t="s">
        <v>34</v>
      </c>
      <c r="U2">
        <v>7</v>
      </c>
      <c r="W2" t="s">
        <v>35</v>
      </c>
    </row>
    <row r="3" spans="1:26" x14ac:dyDescent="0.35">
      <c r="A3">
        <v>2</v>
      </c>
      <c r="B3" s="5">
        <v>46120.7653587963</v>
      </c>
      <c r="C3" s="5">
        <v>46121.686944386573</v>
      </c>
      <c r="D3" s="6">
        <f t="shared" ref="D3:D5" si="0">C3-B3</f>
        <v>0.92158559027302545</v>
      </c>
      <c r="E3" t="s">
        <v>25</v>
      </c>
      <c r="G3" s="1"/>
      <c r="H3" t="s">
        <v>36</v>
      </c>
      <c r="I3" t="s">
        <v>37</v>
      </c>
      <c r="J3" t="s">
        <v>38</v>
      </c>
      <c r="K3" t="s">
        <v>39</v>
      </c>
      <c r="L3" t="s">
        <v>40</v>
      </c>
      <c r="M3" t="s">
        <v>41</v>
      </c>
      <c r="N3" t="s">
        <v>42</v>
      </c>
      <c r="O3" t="s">
        <v>32</v>
      </c>
      <c r="P3" t="s">
        <v>32</v>
      </c>
      <c r="Q3" t="s">
        <v>32</v>
      </c>
      <c r="R3" t="s">
        <v>32</v>
      </c>
      <c r="S3" t="s">
        <v>43</v>
      </c>
      <c r="T3" t="s">
        <v>34</v>
      </c>
      <c r="U3">
        <v>10</v>
      </c>
      <c r="V3" t="s">
        <v>44</v>
      </c>
      <c r="W3" t="s">
        <v>35</v>
      </c>
      <c r="X3" t="s">
        <v>45</v>
      </c>
      <c r="Y3" t="s">
        <v>46</v>
      </c>
    </row>
    <row r="4" spans="1:26" x14ac:dyDescent="0.35">
      <c r="A4">
        <v>3</v>
      </c>
      <c r="B4" s="5">
        <v>46120.798703703702</v>
      </c>
      <c r="C4" s="5">
        <v>46122.686944328707</v>
      </c>
      <c r="D4" s="6">
        <f t="shared" si="0"/>
        <v>1.8882406250049826</v>
      </c>
      <c r="E4" t="s">
        <v>25</v>
      </c>
      <c r="G4" s="1"/>
      <c r="H4" t="s">
        <v>47</v>
      </c>
      <c r="I4" t="s">
        <v>48</v>
      </c>
      <c r="J4" t="s">
        <v>49</v>
      </c>
      <c r="K4" t="s">
        <v>50</v>
      </c>
      <c r="L4" t="s">
        <v>51</v>
      </c>
      <c r="M4" t="s">
        <v>30</v>
      </c>
      <c r="N4" t="s">
        <v>52</v>
      </c>
      <c r="O4" t="s">
        <v>33</v>
      </c>
      <c r="P4" t="s">
        <v>32</v>
      </c>
      <c r="Q4" t="s">
        <v>33</v>
      </c>
      <c r="R4" t="s">
        <v>33</v>
      </c>
      <c r="S4" t="s">
        <v>43</v>
      </c>
      <c r="T4" t="s">
        <v>53</v>
      </c>
      <c r="U4">
        <v>9</v>
      </c>
      <c r="W4" t="s">
        <v>35</v>
      </c>
      <c r="X4" t="s">
        <v>54</v>
      </c>
      <c r="Y4" t="s">
        <v>55</v>
      </c>
    </row>
    <row r="5" spans="1:26" x14ac:dyDescent="0.35">
      <c r="A5">
        <v>4</v>
      </c>
      <c r="B5" s="5">
        <v>46120.946064814802</v>
      </c>
      <c r="C5" s="5">
        <v>46123.686944328707</v>
      </c>
      <c r="D5" s="6">
        <f t="shared" si="0"/>
        <v>2.7408795139053836</v>
      </c>
      <c r="E5" t="s">
        <v>25</v>
      </c>
      <c r="G5" s="1"/>
      <c r="H5" t="s">
        <v>56</v>
      </c>
      <c r="I5" t="s">
        <v>57</v>
      </c>
      <c r="J5" t="s">
        <v>58</v>
      </c>
      <c r="K5" t="s">
        <v>59</v>
      </c>
      <c r="L5" t="s">
        <v>60</v>
      </c>
      <c r="M5" t="s">
        <v>30</v>
      </c>
      <c r="N5" t="s">
        <v>61</v>
      </c>
      <c r="O5" t="s">
        <v>32</v>
      </c>
      <c r="P5" t="s">
        <v>43</v>
      </c>
      <c r="Q5" t="s">
        <v>33</v>
      </c>
      <c r="R5" t="s">
        <v>32</v>
      </c>
      <c r="S5" t="s">
        <v>33</v>
      </c>
      <c r="T5" t="s">
        <v>34</v>
      </c>
      <c r="U5">
        <v>10</v>
      </c>
      <c r="V5" t="s">
        <v>62</v>
      </c>
      <c r="W5" t="s">
        <v>35</v>
      </c>
      <c r="X5" t="s">
        <v>63</v>
      </c>
      <c r="Y5" t="s">
        <v>64</v>
      </c>
      <c r="Z5" t="s">
        <v>65</v>
      </c>
    </row>
    <row r="6" spans="1:26" x14ac:dyDescent="0.35">
      <c r="A6" s="4"/>
      <c r="B6" s="5"/>
      <c r="C6" s="5"/>
      <c r="D6" s="5"/>
      <c r="E6" s="4"/>
      <c r="F6" s="4"/>
      <c r="G6" s="1"/>
      <c r="H6" s="4"/>
      <c r="I6" s="4"/>
      <c r="J6" s="4"/>
      <c r="K6" s="4"/>
      <c r="L6" s="4"/>
      <c r="M6" s="4"/>
      <c r="N6" s="4"/>
      <c r="O6" s="4">
        <f>SUM(COUNTIF(Table1[Food quality], "Extremely satisfied"), COUNTIF(Table1[Food quality], "Satisfied"))</f>
        <v>4</v>
      </c>
      <c r="P6" s="4">
        <f>SUM(COUNTIF(Table1[Service], "Extremely satisfied"), COUNTIF(Table1[Service], "Satisfied"))</f>
        <v>3</v>
      </c>
      <c r="Q6" s="4">
        <f>SUM(COUNTIF(Table1[Atmosphere], "Extremely satisfied"), COUNTIF(Table1[Atmosphere], "Satisfied"))</f>
        <v>4</v>
      </c>
      <c r="R6" s="4">
        <f>SUM(COUNTIF(Table1[Cleanliness], "Extremely satisfied"), COUNTIF(Table1[Cleanliness], "Satisfied"))</f>
        <v>4</v>
      </c>
      <c r="S6" s="4">
        <f>SUM(COUNTIF(Table1[Value for money], "Extremely satisfied"), COUNTIF(Table1[Value for money], "Satisfied"))</f>
        <v>2</v>
      </c>
      <c r="T6" s="4">
        <f>SUM(COUNTIF(Table1[How likely are you to continue being a patron of our restaurant?], "Very likely"), COUNTIF(Table1[How likely are you to continue being a patron of our restaurant?], "Somewhat likely"))</f>
        <v>4</v>
      </c>
      <c r="U6" s="4"/>
      <c r="V6" s="4"/>
      <c r="W6" s="4"/>
      <c r="X6" s="4"/>
      <c r="Y6" s="4"/>
      <c r="Z6" s="4"/>
    </row>
    <row r="7" spans="1:26" x14ac:dyDescent="0.35">
      <c r="O7">
        <f>AVERAGE(_xlfn.SWITCH("Extremely dissatisfied", 0, "Dissatisfied", 1,
"Neutral", 2, "Satisfied", 3, "Extremely satisfied", "4"))</f>
        <v>4</v>
      </c>
      <c r="P7">
        <f>AVERAGE(_xlfn.SWITCH("Extremely dissatisfied", 0, "Dissatisfied", 1,
"Neutral", 2, "Satisfied", 3, "Extremely satisfied", "4"))</f>
        <v>4</v>
      </c>
      <c r="Q7">
        <f>AVERAGE(_xlfn.SWITCH("Extremely dissatisfied", 0, "Dissatisfied", 1,
"Neutral", 2, "Satisfied", 3, "Extremely satisfied", "4"))</f>
        <v>4</v>
      </c>
      <c r="R7">
        <f>AVERAGE(_xlfn.SWITCH("Extremely dissatisfied", 0, "Dissatisfied", 1,
"Neutral", 2, "Satisfied", 3, "Extremely satisfied", "4"))</f>
        <v>4</v>
      </c>
      <c r="S7">
        <f>AVERAGE(_xlfn.SWITCH("Extremely dissatisfied", 0, "Dissatisfied", 1,
"Neutral", 2, "Satisfied", 3, "Extremely satisfied", "4"))</f>
        <v>4</v>
      </c>
      <c r="T7">
        <f>AVERAGE(_xlfn.SWITCH("Extremely dissatisfied", 0, "Dissatisfied", 1,
"Neutral", 2, "Satisfied", 3, "Extremely satisfied", "4"))</f>
        <v>4</v>
      </c>
    </row>
  </sheetData>
  <conditionalFormatting sqref="B1:B5">
    <cfRule type="timePeriod" dxfId="30" priority="6" timePeriod="yesterday">
      <formula>FLOOR(B1,1)=TODAY()-1</formula>
    </cfRule>
  </conditionalFormatting>
  <conditionalFormatting sqref="C2:C5">
    <cfRule type="timePeriod" dxfId="29" priority="3" timePeriod="yesterday">
      <formula>FLOOR(C2,1)=TODAY()-1</formula>
    </cfRule>
    <cfRule type="timePeriod" dxfId="28" priority="5" timePeriod="yesterday">
      <formula>FLOOR(C2,1)=TODAY()-1</formula>
    </cfRule>
  </conditionalFormatting>
  <conditionalFormatting sqref="C3:C5">
    <cfRule type="timePeriod" dxfId="27" priority="1" timePeriod="thisWeek">
      <formula>AND(TODAY()-ROUNDDOWN(C3,0)&lt;=WEEKDAY(TODAY())-1,ROUNDDOWN(C3,0)-TODAY()&lt;=7-WEEKDAY(TODAY()))</formula>
    </cfRule>
    <cfRule type="timePeriod" dxfId="26" priority="2" timePeriod="yesterday">
      <formula>FLOOR(C3,1)=TODAY()-1</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F134-AFCB-4E4B-B191-73D49698DA8E}">
  <dimension ref="A1:B6"/>
  <sheetViews>
    <sheetView workbookViewId="0">
      <pane ySplit="1" topLeftCell="A2" activePane="bottomLeft" state="frozen"/>
      <selection pane="bottomLeft" activeCell="B6" sqref="B6"/>
    </sheetView>
  </sheetViews>
  <sheetFormatPr defaultRowHeight="14.5" x14ac:dyDescent="0.35"/>
  <cols>
    <col min="1" max="1" width="70.7265625" customWidth="1"/>
    <col min="2" max="2" width="75.453125" customWidth="1"/>
  </cols>
  <sheetData>
    <row r="1" spans="1:2" x14ac:dyDescent="0.35">
      <c r="A1" t="s">
        <v>66</v>
      </c>
      <c r="B1" t="s">
        <v>67</v>
      </c>
    </row>
    <row r="2" spans="1:2" ht="56" customHeight="1" x14ac:dyDescent="0.35">
      <c r="A2" s="3" t="s">
        <v>68</v>
      </c>
      <c r="B2" s="3" t="s">
        <v>69</v>
      </c>
    </row>
    <row r="4" spans="1:2" ht="43.5" x14ac:dyDescent="0.35">
      <c r="A4" s="3" t="s">
        <v>70</v>
      </c>
      <c r="B4" s="3" t="s">
        <v>71</v>
      </c>
    </row>
    <row r="6" spans="1:2" x14ac:dyDescent="0.35">
      <c r="A6" s="3" t="s">
        <v>72</v>
      </c>
      <c r="B6" s="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2E25-AEC2-4273-824F-FE0B1833DAFC}">
  <dimension ref="A3:C9"/>
  <sheetViews>
    <sheetView tabSelected="1" workbookViewId="0">
      <selection activeCell="E10" sqref="E10"/>
    </sheetView>
  </sheetViews>
  <sheetFormatPr defaultRowHeight="14.5" x14ac:dyDescent="0.35"/>
  <cols>
    <col min="1" max="1" width="20.453125" bestFit="1" customWidth="1"/>
    <col min="2" max="2" width="28.81640625" bestFit="1" customWidth="1"/>
    <col min="3" max="3" width="23.36328125" bestFit="1" customWidth="1"/>
    <col min="4" max="4" width="15.453125" bestFit="1" customWidth="1"/>
    <col min="5" max="6" width="10.7265625" bestFit="1" customWidth="1"/>
  </cols>
  <sheetData>
    <row r="3" spans="1:3" x14ac:dyDescent="0.35">
      <c r="A3" s="7" t="s">
        <v>75</v>
      </c>
      <c r="B3" t="s">
        <v>77</v>
      </c>
      <c r="C3" t="s">
        <v>78</v>
      </c>
    </row>
    <row r="4" spans="1:3" x14ac:dyDescent="0.35">
      <c r="A4" s="8" t="s">
        <v>43</v>
      </c>
      <c r="B4" s="4">
        <v>2</v>
      </c>
      <c r="C4" s="4">
        <v>2</v>
      </c>
    </row>
    <row r="5" spans="1:3" x14ac:dyDescent="0.35">
      <c r="A5" s="9" t="s">
        <v>32</v>
      </c>
      <c r="B5" s="4">
        <v>1</v>
      </c>
      <c r="C5" s="4">
        <v>1</v>
      </c>
    </row>
    <row r="6" spans="1:3" x14ac:dyDescent="0.35">
      <c r="A6" s="9" t="s">
        <v>33</v>
      </c>
      <c r="B6" s="4">
        <v>1</v>
      </c>
      <c r="C6" s="4">
        <v>1</v>
      </c>
    </row>
    <row r="7" spans="1:3" x14ac:dyDescent="0.35">
      <c r="A7" s="8" t="s">
        <v>33</v>
      </c>
      <c r="B7" s="4">
        <v>1</v>
      </c>
      <c r="C7" s="4">
        <v>2</v>
      </c>
    </row>
    <row r="8" spans="1:3" x14ac:dyDescent="0.35">
      <c r="A8" s="9" t="s">
        <v>32</v>
      </c>
      <c r="B8" s="4">
        <v>1</v>
      </c>
      <c r="C8" s="4">
        <v>2</v>
      </c>
    </row>
    <row r="9" spans="1:3" x14ac:dyDescent="0.35">
      <c r="A9" s="8" t="s">
        <v>76</v>
      </c>
      <c r="B9" s="4">
        <v>3</v>
      </c>
      <c r="C9" s="4">
        <v>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Maia Black</cp:lastModifiedBy>
  <dcterms:created xsi:type="dcterms:W3CDTF">2026-04-10T01:00:55Z</dcterms:created>
  <dcterms:modified xsi:type="dcterms:W3CDTF">2026-04-10T02:04:32Z</dcterms:modified>
</cp:coreProperties>
</file>