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disco\Documents\DataAnalytics\week-01\"/>
    </mc:Choice>
  </mc:AlternateContent>
  <xr:revisionPtr revIDLastSave="0" documentId="13_ncr:1_{E94E49A5-51E0-4DB7-896D-ACAD7115F7BA}" xr6:coauthVersionLast="47" xr6:coauthVersionMax="47" xr10:uidLastSave="{00000000-0000-0000-0000-000000000000}"/>
  <bookViews>
    <workbookView xWindow="0" yWindow="360" windowWidth="25820" windowHeight="13900" xr2:uid="{00000000-000D-0000-FFFF-FFFF00000000}"/>
  </bookViews>
  <sheets>
    <sheet name="Raw Sales Data" sheetId="1" r:id="rId1"/>
  </sheets>
  <definedNames>
    <definedName name="_xlnm._FilterDatabase" localSheetId="0" hidden="1">'Raw Sales Data'!$A$1:$M$101</definedName>
  </definedNames>
  <calcPr calcId="191029"/>
  <pivotCaches>
    <pivotCache cacheId="1" r:id="rId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" i="1" l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2" i="1"/>
  <c r="L3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2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</calcChain>
</file>

<file path=xl/sharedStrings.xml><?xml version="1.0" encoding="utf-8"?>
<sst xmlns="http://schemas.openxmlformats.org/spreadsheetml/2006/main" count="620" uniqueCount="231">
  <si>
    <t>OrderID</t>
  </si>
  <si>
    <t>CustomerName</t>
  </si>
  <si>
    <t>Region</t>
  </si>
  <si>
    <t>City</t>
  </si>
  <si>
    <t>State</t>
  </si>
  <si>
    <t>Product</t>
  </si>
  <si>
    <t>UnitPrice</t>
  </si>
  <si>
    <t>Quantity</t>
  </si>
  <si>
    <t>TotalSales</t>
  </si>
  <si>
    <t>OrderDate</t>
  </si>
  <si>
    <t>Email</t>
  </si>
  <si>
    <t>south</t>
  </si>
  <si>
    <t>chicago</t>
  </si>
  <si>
    <t>il</t>
  </si>
  <si>
    <t>2/1/24</t>
  </si>
  <si>
    <t xml:space="preserve"> customer1@company.com </t>
  </si>
  <si>
    <t>san antonio</t>
  </si>
  <si>
    <t>tx</t>
  </si>
  <si>
    <t>2/2/24</t>
  </si>
  <si>
    <t xml:space="preserve"> customer2@company.com </t>
  </si>
  <si>
    <t>west</t>
  </si>
  <si>
    <t>2/3/24</t>
  </si>
  <si>
    <t xml:space="preserve"> customer3@company.com </t>
  </si>
  <si>
    <t>san diego</t>
  </si>
  <si>
    <t>ca</t>
  </si>
  <si>
    <t>2/4/24</t>
  </si>
  <si>
    <t xml:space="preserve"> customer4@company.com </t>
  </si>
  <si>
    <t>houston</t>
  </si>
  <si>
    <t>2/5/24</t>
  </si>
  <si>
    <t xml:space="preserve"> customer5@company.com </t>
  </si>
  <si>
    <t>2/6/24</t>
  </si>
  <si>
    <t xml:space="preserve"> customer6@company.com </t>
  </si>
  <si>
    <t>midwest</t>
  </si>
  <si>
    <t>los angeles</t>
  </si>
  <si>
    <t>2/7/24</t>
  </si>
  <si>
    <t xml:space="preserve"> customer7@company.com </t>
  </si>
  <si>
    <t>2/8/24</t>
  </si>
  <si>
    <t xml:space="preserve"> customer8@company.com </t>
  </si>
  <si>
    <t>2/9/24</t>
  </si>
  <si>
    <t xml:space="preserve"> customer9@company.com </t>
  </si>
  <si>
    <t>east</t>
  </si>
  <si>
    <t>2/10/24</t>
  </si>
  <si>
    <t xml:space="preserve"> customer10@company.com </t>
  </si>
  <si>
    <t>2/11/24</t>
  </si>
  <si>
    <t xml:space="preserve"> customer11@company.com </t>
  </si>
  <si>
    <t>2/12/24</t>
  </si>
  <si>
    <t xml:space="preserve"> customer12@company.com </t>
  </si>
  <si>
    <t xml:space="preserve">barbara DAVIS </t>
  </si>
  <si>
    <t>2/13/24</t>
  </si>
  <si>
    <t xml:space="preserve"> customer13@company.com </t>
  </si>
  <si>
    <t>barbara THOMAS</t>
  </si>
  <si>
    <t>philadelphia</t>
  </si>
  <si>
    <t>pa</t>
  </si>
  <si>
    <t>2/14/24</t>
  </si>
  <si>
    <t xml:space="preserve"> customer14@company.com </t>
  </si>
  <si>
    <t>new york</t>
  </si>
  <si>
    <t>ny</t>
  </si>
  <si>
    <t>2/15/24</t>
  </si>
  <si>
    <t xml:space="preserve"> customer15@company.com </t>
  </si>
  <si>
    <t>phoenix</t>
  </si>
  <si>
    <t>az</t>
  </si>
  <si>
    <t>2/16/24</t>
  </si>
  <si>
    <t xml:space="preserve"> customer16@company.com </t>
  </si>
  <si>
    <t>2/17/24</t>
  </si>
  <si>
    <t xml:space="preserve"> customer17@company.com </t>
  </si>
  <si>
    <t>2/18/24</t>
  </si>
  <si>
    <t xml:space="preserve"> customer18@company.com </t>
  </si>
  <si>
    <t>2/19/24</t>
  </si>
  <si>
    <t xml:space="preserve"> customer19@company.com </t>
  </si>
  <si>
    <t xml:space="preserve">LINDA Anderson </t>
  </si>
  <si>
    <t>2/20/24</t>
  </si>
  <si>
    <t xml:space="preserve"> customer20@company.com </t>
  </si>
  <si>
    <t>2/22/24</t>
  </si>
  <si>
    <t xml:space="preserve"> customer22@company.com </t>
  </si>
  <si>
    <t>2/23/24</t>
  </si>
  <si>
    <t xml:space="preserve"> customer23@company.com </t>
  </si>
  <si>
    <t>2/24/24</t>
  </si>
  <si>
    <t xml:space="preserve"> customer24@company.com </t>
  </si>
  <si>
    <t>2/25/24</t>
  </si>
  <si>
    <t xml:space="preserve"> customer25@company.com </t>
  </si>
  <si>
    <t>2/26/24</t>
  </si>
  <si>
    <t xml:space="preserve"> customer26@company.com </t>
  </si>
  <si>
    <t>2/27/24</t>
  </si>
  <si>
    <t xml:space="preserve"> customer27@company.com </t>
  </si>
  <si>
    <t>2/28/24</t>
  </si>
  <si>
    <t xml:space="preserve"> customer28@company.com </t>
  </si>
  <si>
    <t xml:space="preserve"> customer29@company.com </t>
  </si>
  <si>
    <t xml:space="preserve"> customer30@company.com </t>
  </si>
  <si>
    <t xml:space="preserve"> customer31@company.com </t>
  </si>
  <si>
    <t>barbara TAYLOR</t>
  </si>
  <si>
    <t xml:space="preserve"> customer32@company.com </t>
  </si>
  <si>
    <t xml:space="preserve">LINDA DAVIS </t>
  </si>
  <si>
    <t xml:space="preserve"> customer33@company.com </t>
  </si>
  <si>
    <t xml:space="preserve"> customer34@company.com </t>
  </si>
  <si>
    <t xml:space="preserve"> customer35@company.com </t>
  </si>
  <si>
    <t>barbara JOHNSON</t>
  </si>
  <si>
    <t xml:space="preserve"> customer36@company.com </t>
  </si>
  <si>
    <t xml:space="preserve"> customer37@company.com </t>
  </si>
  <si>
    <t xml:space="preserve"> customer38@company.com </t>
  </si>
  <si>
    <t xml:space="preserve"> customer39@company.com </t>
  </si>
  <si>
    <t xml:space="preserve"> customer40@company.com </t>
  </si>
  <si>
    <t>LINDA wilson</t>
  </si>
  <si>
    <t xml:space="preserve"> customer41@company.com </t>
  </si>
  <si>
    <t xml:space="preserve"> customer42@company.com </t>
  </si>
  <si>
    <t xml:space="preserve"> customer43@company.com </t>
  </si>
  <si>
    <t xml:space="preserve"> customer44@company.com </t>
  </si>
  <si>
    <t xml:space="preserve"> customer45@company.com </t>
  </si>
  <si>
    <t xml:space="preserve"> customer47@company.com </t>
  </si>
  <si>
    <t xml:space="preserve"> customer48@company.com </t>
  </si>
  <si>
    <t xml:space="preserve">barbara smith </t>
  </si>
  <si>
    <t>2/21/24</t>
  </si>
  <si>
    <t xml:space="preserve"> customer49@company.com </t>
  </si>
  <si>
    <t xml:space="preserve"> customer50@company.com </t>
  </si>
  <si>
    <t xml:space="preserve"> customer51@company.com </t>
  </si>
  <si>
    <t xml:space="preserve"> customer52@company.com </t>
  </si>
  <si>
    <t xml:space="preserve"> customer53@company.com </t>
  </si>
  <si>
    <t xml:space="preserve"> customer54@company.com </t>
  </si>
  <si>
    <t xml:space="preserve"> customer55@company.com </t>
  </si>
  <si>
    <t>LINDA JOHNSON</t>
  </si>
  <si>
    <t xml:space="preserve"> customer56@company.com </t>
  </si>
  <si>
    <t xml:space="preserve"> customer57@company.com </t>
  </si>
  <si>
    <t xml:space="preserve"> customer58@company.com </t>
  </si>
  <si>
    <t xml:space="preserve"> customer59@company.com </t>
  </si>
  <si>
    <t xml:space="preserve"> customer60@company.com </t>
  </si>
  <si>
    <t xml:space="preserve"> customer61@company.com </t>
  </si>
  <si>
    <t xml:space="preserve"> customer62@company.com </t>
  </si>
  <si>
    <t xml:space="preserve"> customer63@company.com </t>
  </si>
  <si>
    <t xml:space="preserve"> customer64@company.com </t>
  </si>
  <si>
    <t xml:space="preserve"> customer65@company.com </t>
  </si>
  <si>
    <t xml:space="preserve"> customer66@company.com </t>
  </si>
  <si>
    <t xml:space="preserve"> customer67@company.com </t>
  </si>
  <si>
    <t xml:space="preserve"> customer68@company.com </t>
  </si>
  <si>
    <t xml:space="preserve"> customer69@company.com </t>
  </si>
  <si>
    <t xml:space="preserve">LINDA smith </t>
  </si>
  <si>
    <t xml:space="preserve"> customer70@company.com </t>
  </si>
  <si>
    <t xml:space="preserve"> customer71@company.com </t>
  </si>
  <si>
    <t xml:space="preserve"> customer72@company.com </t>
  </si>
  <si>
    <t xml:space="preserve"> customer73@company.com </t>
  </si>
  <si>
    <t xml:space="preserve"> customer74@company.com </t>
  </si>
  <si>
    <t xml:space="preserve"> customer75@company.com </t>
  </si>
  <si>
    <t>LINDA TAYLOR</t>
  </si>
  <si>
    <t xml:space="preserve"> customer76@company.com </t>
  </si>
  <si>
    <t xml:space="preserve"> customer77@company.com </t>
  </si>
  <si>
    <t xml:space="preserve"> customer78@company.com </t>
  </si>
  <si>
    <t>barbara wilson</t>
  </si>
  <si>
    <t xml:space="preserve"> customer79@company.com </t>
  </si>
  <si>
    <t xml:space="preserve"> customer80@company.com </t>
  </si>
  <si>
    <t xml:space="preserve"> customer81@company.com </t>
  </si>
  <si>
    <t xml:space="preserve"> customer82@company.com </t>
  </si>
  <si>
    <t xml:space="preserve"> customer83@company.com </t>
  </si>
  <si>
    <t xml:space="preserve"> customer84@company.com </t>
  </si>
  <si>
    <t xml:space="preserve"> customer85@company.com </t>
  </si>
  <si>
    <t xml:space="preserve"> customer86@company.com </t>
  </si>
  <si>
    <t xml:space="preserve"> customer87@company.com </t>
  </si>
  <si>
    <t xml:space="preserve"> customer88@company.com </t>
  </si>
  <si>
    <t xml:space="preserve"> customer89@company.com </t>
  </si>
  <si>
    <t xml:space="preserve"> customer90@company.com </t>
  </si>
  <si>
    <t xml:space="preserve"> customer91@company.com </t>
  </si>
  <si>
    <t>LINDA THOMAS</t>
  </si>
  <si>
    <t xml:space="preserve"> customer92@company.com </t>
  </si>
  <si>
    <t xml:space="preserve"> customer93@company.com </t>
  </si>
  <si>
    <t xml:space="preserve"> customer94@company.com </t>
  </si>
  <si>
    <t xml:space="preserve"> customer95@company.com </t>
  </si>
  <si>
    <t xml:space="preserve"> customer96@company.com </t>
  </si>
  <si>
    <t xml:space="preserve"> customer97@company.com </t>
  </si>
  <si>
    <t xml:space="preserve"> customer98@company.com </t>
  </si>
  <si>
    <t xml:space="preserve"> customer99@company.com </t>
  </si>
  <si>
    <t xml:space="preserve"> customer100@company.com </t>
  </si>
  <si>
    <t>CleanName</t>
  </si>
  <si>
    <t>Location</t>
  </si>
  <si>
    <t>Tablet</t>
  </si>
  <si>
    <t>Phone</t>
  </si>
  <si>
    <t>Monitor</t>
  </si>
  <si>
    <t>Keyboard</t>
  </si>
  <si>
    <t>Laptop</t>
  </si>
  <si>
    <t>MICHAEL jackson</t>
  </si>
  <si>
    <t>ELIZABETH brown</t>
  </si>
  <si>
    <t>ELIZABETH moore</t>
  </si>
  <si>
    <t>MICHAEL moore</t>
  </si>
  <si>
    <t>James moore</t>
  </si>
  <si>
    <t>James jackson</t>
  </si>
  <si>
    <t>MARY moore</t>
  </si>
  <si>
    <t>ELIZABETH jackson</t>
  </si>
  <si>
    <t xml:space="preserve"> robert wilson</t>
  </si>
  <si>
    <t>MICHAEL THOMAS</t>
  </si>
  <si>
    <t>MARY wilson</t>
  </si>
  <si>
    <t>MICHAEL TAYLOR</t>
  </si>
  <si>
    <t>ELIZABETH JOHNSON</t>
  </si>
  <si>
    <t>ELIZABETH wilson</t>
  </si>
  <si>
    <t>LINDA moore</t>
  </si>
  <si>
    <t xml:space="preserve">MARY DAVIS </t>
  </si>
  <si>
    <t xml:space="preserve">MICHAEL Anderson </t>
  </si>
  <si>
    <t xml:space="preserve">ELIZABETH DAVIS </t>
  </si>
  <si>
    <t>MARY TAYLOR</t>
  </si>
  <si>
    <t>ELIZABETH THOMAS</t>
  </si>
  <si>
    <t>James wilson</t>
  </si>
  <si>
    <t>LINDA brown</t>
  </si>
  <si>
    <t xml:space="preserve">James smith </t>
  </si>
  <si>
    <t xml:space="preserve">James Anderson </t>
  </si>
  <si>
    <t>barbara brown</t>
  </si>
  <si>
    <t>ELIZABETH TAYLOR</t>
  </si>
  <si>
    <t xml:space="preserve">MARY smith </t>
  </si>
  <si>
    <t xml:space="preserve">James DAVIS </t>
  </si>
  <si>
    <t>MARY THOMAS</t>
  </si>
  <si>
    <t>robert brown</t>
  </si>
  <si>
    <t>robert moore</t>
  </si>
  <si>
    <t xml:space="preserve">john DAVIS </t>
  </si>
  <si>
    <t xml:space="preserve">john Anderson </t>
  </si>
  <si>
    <t>william jackson</t>
  </si>
  <si>
    <t>john wilson</t>
  </si>
  <si>
    <t>william wilson</t>
  </si>
  <si>
    <t>patricia wilson</t>
  </si>
  <si>
    <t>john moore</t>
  </si>
  <si>
    <t>patricia THOMAS</t>
  </si>
  <si>
    <t>william TAYLOR</t>
  </si>
  <si>
    <t>patricia jackson</t>
  </si>
  <si>
    <t xml:space="preserve">robert Anderson </t>
  </si>
  <si>
    <t>john jackson</t>
  </si>
  <si>
    <t xml:space="preserve">william Anderson </t>
  </si>
  <si>
    <t>patricia JOHNSON</t>
  </si>
  <si>
    <t xml:space="preserve">robert DAVIS </t>
  </si>
  <si>
    <t>robert JOHNSON</t>
  </si>
  <si>
    <t>patricia TAYLOR</t>
  </si>
  <si>
    <t>patricia moore</t>
  </si>
  <si>
    <t>john brown</t>
  </si>
  <si>
    <t>william THOMAS</t>
  </si>
  <si>
    <t>robert TAYLOR</t>
  </si>
  <si>
    <t>Sum of TotalSales</t>
  </si>
  <si>
    <t>Row Labels</t>
  </si>
  <si>
    <t>Grand Total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</si>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</sst>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[retail_messy_dataset.xlsx]Raw Sales Data!PivotTable3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865448666098954E-2"/>
          <c:y val="8.4162608747125403E-2"/>
          <c:w val="0.75834078566731533"/>
          <c:h val="0.7915477775240882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'Raw Sales Data'!$C$109:$C$110</c:f>
              <c:strCache>
                <c:ptCount val="1"/>
                <c:pt idx="0">
                  <c:v>Keyboard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'Raw Sales Data'!$B$111:$B$115</c:f>
              <c:strCache>
                <c:ptCount val="4"/>
                <c:pt idx="0">
                  <c:v>east</c:v>
                </c:pt>
                <c:pt idx="1">
                  <c:v>midwest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'Raw Sales Data'!$C$111:$C$115</c:f>
              <c:numCache>
                <c:formatCode>General</c:formatCode>
                <c:ptCount val="4"/>
                <c:pt idx="0">
                  <c:v>1424</c:v>
                </c:pt>
                <c:pt idx="1">
                  <c:v>1869</c:v>
                </c:pt>
                <c:pt idx="2">
                  <c:v>2047</c:v>
                </c:pt>
                <c:pt idx="3">
                  <c:v>1068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B7-4010-9465-3B884AF915B2}"/>
            </c:ext>
          </c:extLst>
        </c:ser>
        <c:ser>
          <c:idx val="1"/>
          <c:order val="1"/>
          <c:tx>
            <c:strRef>
              <c:f>'Raw Sales Data'!$D$109:$D$110</c:f>
              <c:strCache>
                <c:ptCount val="1"/>
                <c:pt idx="0">
                  <c:v>Laptop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'Raw Sales Data'!$B$111:$B$115</c:f>
              <c:strCache>
                <c:ptCount val="4"/>
                <c:pt idx="0">
                  <c:v>east</c:v>
                </c:pt>
                <c:pt idx="1">
                  <c:v>midwest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'Raw Sales Data'!$D$111:$D$115</c:f>
              <c:numCache>
                <c:formatCode>General</c:formatCode>
                <c:ptCount val="4"/>
                <c:pt idx="0">
                  <c:v>22475</c:v>
                </c:pt>
                <c:pt idx="1">
                  <c:v>9889</c:v>
                </c:pt>
                <c:pt idx="2">
                  <c:v>21576</c:v>
                </c:pt>
                <c:pt idx="3">
                  <c:v>24273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50B7-4010-9465-3B884AF915B2}"/>
            </c:ext>
          </c:extLst>
        </c:ser>
        <c:ser>
          <c:idx val="2"/>
          <c:order val="2"/>
          <c:tx>
            <c:strRef>
              <c:f>'Raw Sales Data'!$E$109:$E$110</c:f>
              <c:strCache>
                <c:ptCount val="1"/>
                <c:pt idx="0">
                  <c:v>Monitor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'Raw Sales Data'!$B$111:$B$115</c:f>
              <c:strCache>
                <c:ptCount val="4"/>
                <c:pt idx="0">
                  <c:v>east</c:v>
                </c:pt>
                <c:pt idx="1">
                  <c:v>midwest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'Raw Sales Data'!$E$111:$E$115</c:f>
              <c:numCache>
                <c:formatCode>General</c:formatCode>
                <c:ptCount val="4"/>
                <c:pt idx="0">
                  <c:v>6279</c:v>
                </c:pt>
                <c:pt idx="1">
                  <c:v>2392</c:v>
                </c:pt>
                <c:pt idx="2">
                  <c:v>4485</c:v>
                </c:pt>
                <c:pt idx="3">
                  <c:v>1794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50B7-4010-9465-3B884AF915B2}"/>
            </c:ext>
          </c:extLst>
        </c:ser>
        <c:ser>
          <c:idx val="3"/>
          <c:order val="3"/>
          <c:tx>
            <c:strRef>
              <c:f>'Raw Sales Data'!$F$109:$F$110</c:f>
              <c:strCache>
                <c:ptCount val="1"/>
                <c:pt idx="0">
                  <c:v>Phone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'Raw Sales Data'!$B$111:$B$115</c:f>
              <c:strCache>
                <c:ptCount val="4"/>
                <c:pt idx="0">
                  <c:v>east</c:v>
                </c:pt>
                <c:pt idx="1">
                  <c:v>midwest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'Raw Sales Data'!$F$111:$F$115</c:f>
              <c:numCache>
                <c:formatCode>General</c:formatCode>
                <c:ptCount val="4"/>
                <c:pt idx="0">
                  <c:v>7689</c:v>
                </c:pt>
                <c:pt idx="1">
                  <c:v>9786</c:v>
                </c:pt>
                <c:pt idx="2">
                  <c:v>9087</c:v>
                </c:pt>
                <c:pt idx="3">
                  <c:v>9786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50B7-4010-9465-3B884AF915B2}"/>
            </c:ext>
          </c:extLst>
        </c:ser>
        <c:ser>
          <c:idx val="4"/>
          <c:order val="4"/>
          <c:tx>
            <c:strRef>
              <c:f>'Raw Sales Data'!$G$109:$G$110</c:f>
              <c:strCache>
                <c:ptCount val="1"/>
                <c:pt idx="0">
                  <c:v>Tablet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'Raw Sales Data'!$B$111:$B$115</c:f>
              <c:strCache>
                <c:ptCount val="4"/>
                <c:pt idx="0">
                  <c:v>east</c:v>
                </c:pt>
                <c:pt idx="1">
                  <c:v>midwest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'Raw Sales Data'!$G$111:$G$115</c:f>
              <c:numCache>
                <c:formatCode>General</c:formatCode>
                <c:ptCount val="4"/>
                <c:pt idx="0">
                  <c:v>7984</c:v>
                </c:pt>
                <c:pt idx="1">
                  <c:v>4990</c:v>
                </c:pt>
                <c:pt idx="2">
                  <c:v>9481</c:v>
                </c:pt>
                <c:pt idx="3">
                  <c:v>10978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50B7-4010-9465-3B884AF915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8080336"/>
        <c:axId val="468087056"/>
      </c:barChart>
      <c:catAx>
        <c:axId val="468080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87056"/>
        <c:crosses val="autoZero"/>
        <c:auto val="1"/>
        <c:lblAlgn val="ctr"/>
        <c:lblOffset val="100"/>
        <c:noMultiLvlLbl val="0"/>
      </c:catAx>
      <c:valAx>
        <c:axId val="468087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80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105</xdr:row>
      <xdr:rowOff>21166</xdr:rowOff>
    </xdr:from>
    <xdr:to>
      <xdr:col>28</xdr:col>
      <xdr:colOff>423333</xdr:colOff>
      <xdr:row>135</xdr:row>
      <xdr:rowOff>35278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5C8BFF7-AE80-751A-C9E3-61CBFEA959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ia Black" refreshedDate="46121.97894479167" createdVersion="8" refreshedVersion="8" minRefreshableVersion="3" recordCount="100" xr:uid="{1E32FCE7-1C0D-4AAC-81D7-4A442146F336}">
  <cacheSource type="worksheet">
    <worksheetSource ref="C1:I101" sheet="Raw Sales Data"/>
  </cacheSource>
  <cacheFields count="7">
    <cacheField name="Region" numFmtId="0">
      <sharedItems count="4">
        <s v="south"/>
        <s v="west"/>
        <s v="midwest"/>
        <s v="east"/>
      </sharedItems>
    </cacheField>
    <cacheField name="City" numFmtId="0">
      <sharedItems/>
    </cacheField>
    <cacheField name="State" numFmtId="0">
      <sharedItems/>
    </cacheField>
    <cacheField name="Product" numFmtId="0">
      <sharedItems count="5">
        <s v="Keyboard"/>
        <s v="Laptop"/>
        <s v="Phone"/>
        <s v="Tablet"/>
        <s v="Monitor"/>
      </sharedItems>
    </cacheField>
    <cacheField name="UnitPrice" numFmtId="0">
      <sharedItems containsSemiMixedTypes="0" containsString="0" containsNumber="1" containsInteger="1" minValue="89" maxValue="899"/>
    </cacheField>
    <cacheField name="Quantity" numFmtId="0">
      <sharedItems containsSemiMixedTypes="0" containsString="0" containsNumber="1" containsInteger="1" minValue="1" maxValue="5"/>
    </cacheField>
    <cacheField name="TotalSales" numFmtId="0">
      <sharedItems containsSemiMixedTypes="0" containsString="0" containsNumber="1" containsInteger="1" minValue="89" maxValue="4495" count="25">
        <n v="445"/>
        <n v="2697"/>
        <n v="1398"/>
        <n v="4495"/>
        <n v="2495"/>
        <n v="1497"/>
        <n v="897"/>
        <n v="2796"/>
        <n v="1996"/>
        <n v="1196"/>
        <n v="356"/>
        <n v="3596"/>
        <n v="267"/>
        <n v="998"/>
        <n v="699"/>
        <n v="1798"/>
        <n v="178"/>
        <n v="3495"/>
        <n v="2097"/>
        <n v="899"/>
        <n v="89"/>
        <n v="598"/>
        <n v="499"/>
        <n v="1495"/>
        <n v="299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x v="0"/>
    <s v="chicago"/>
    <s v="il"/>
    <x v="0"/>
    <n v="89"/>
    <n v="5"/>
    <x v="0"/>
  </r>
  <r>
    <x v="0"/>
    <s v="san antonio"/>
    <s v="tx"/>
    <x v="1"/>
    <n v="899"/>
    <n v="3"/>
    <x v="1"/>
  </r>
  <r>
    <x v="1"/>
    <s v="chicago"/>
    <s v="il"/>
    <x v="2"/>
    <n v="699"/>
    <n v="2"/>
    <x v="2"/>
  </r>
  <r>
    <x v="1"/>
    <s v="san diego"/>
    <s v="ca"/>
    <x v="1"/>
    <n v="899"/>
    <n v="5"/>
    <x v="3"/>
  </r>
  <r>
    <x v="1"/>
    <s v="houston"/>
    <s v="tx"/>
    <x v="0"/>
    <n v="89"/>
    <n v="5"/>
    <x v="0"/>
  </r>
  <r>
    <x v="1"/>
    <s v="houston"/>
    <s v="tx"/>
    <x v="3"/>
    <n v="499"/>
    <n v="5"/>
    <x v="4"/>
  </r>
  <r>
    <x v="2"/>
    <s v="los angeles"/>
    <s v="ca"/>
    <x v="3"/>
    <n v="499"/>
    <n v="3"/>
    <x v="5"/>
  </r>
  <r>
    <x v="1"/>
    <s v="chicago"/>
    <s v="il"/>
    <x v="4"/>
    <n v="299"/>
    <n v="3"/>
    <x v="6"/>
  </r>
  <r>
    <x v="0"/>
    <s v="chicago"/>
    <s v="il"/>
    <x v="2"/>
    <n v="699"/>
    <n v="4"/>
    <x v="7"/>
  </r>
  <r>
    <x v="3"/>
    <s v="los angeles"/>
    <s v="ca"/>
    <x v="1"/>
    <n v="899"/>
    <n v="5"/>
    <x v="3"/>
  </r>
  <r>
    <x v="3"/>
    <s v="houston"/>
    <s v="tx"/>
    <x v="1"/>
    <n v="899"/>
    <n v="5"/>
    <x v="3"/>
  </r>
  <r>
    <x v="2"/>
    <s v="houston"/>
    <s v="tx"/>
    <x v="1"/>
    <n v="899"/>
    <n v="3"/>
    <x v="1"/>
  </r>
  <r>
    <x v="0"/>
    <s v="chicago"/>
    <s v="il"/>
    <x v="3"/>
    <n v="499"/>
    <n v="4"/>
    <x v="8"/>
  </r>
  <r>
    <x v="2"/>
    <s v="philadelphia"/>
    <s v="pa"/>
    <x v="3"/>
    <n v="499"/>
    <n v="3"/>
    <x v="5"/>
  </r>
  <r>
    <x v="3"/>
    <s v="new york"/>
    <s v="ny"/>
    <x v="4"/>
    <n v="299"/>
    <n v="4"/>
    <x v="9"/>
  </r>
  <r>
    <x v="1"/>
    <s v="phoenix"/>
    <s v="az"/>
    <x v="3"/>
    <n v="499"/>
    <n v="4"/>
    <x v="8"/>
  </r>
  <r>
    <x v="0"/>
    <s v="philadelphia"/>
    <s v="pa"/>
    <x v="3"/>
    <n v="499"/>
    <n v="4"/>
    <x v="8"/>
  </r>
  <r>
    <x v="0"/>
    <s v="san diego"/>
    <s v="ca"/>
    <x v="0"/>
    <n v="89"/>
    <n v="4"/>
    <x v="10"/>
  </r>
  <r>
    <x v="0"/>
    <s v="houston"/>
    <s v="tx"/>
    <x v="4"/>
    <n v="299"/>
    <n v="4"/>
    <x v="9"/>
  </r>
  <r>
    <x v="2"/>
    <s v="houston"/>
    <s v="tx"/>
    <x v="2"/>
    <n v="699"/>
    <n v="2"/>
    <x v="2"/>
  </r>
  <r>
    <x v="1"/>
    <s v="houston"/>
    <s v="tx"/>
    <x v="3"/>
    <n v="499"/>
    <n v="5"/>
    <x v="4"/>
  </r>
  <r>
    <x v="3"/>
    <s v="houston"/>
    <s v="tx"/>
    <x v="0"/>
    <n v="89"/>
    <n v="5"/>
    <x v="0"/>
  </r>
  <r>
    <x v="0"/>
    <s v="houston"/>
    <s v="tx"/>
    <x v="2"/>
    <n v="699"/>
    <n v="2"/>
    <x v="2"/>
  </r>
  <r>
    <x v="2"/>
    <s v="san diego"/>
    <s v="ca"/>
    <x v="1"/>
    <n v="899"/>
    <n v="4"/>
    <x v="11"/>
  </r>
  <r>
    <x v="3"/>
    <s v="los angeles"/>
    <s v="ca"/>
    <x v="4"/>
    <n v="299"/>
    <n v="3"/>
    <x v="6"/>
  </r>
  <r>
    <x v="3"/>
    <s v="los angeles"/>
    <s v="ca"/>
    <x v="0"/>
    <n v="89"/>
    <n v="3"/>
    <x v="12"/>
  </r>
  <r>
    <x v="0"/>
    <s v="san diego"/>
    <s v="ca"/>
    <x v="1"/>
    <n v="899"/>
    <n v="5"/>
    <x v="3"/>
  </r>
  <r>
    <x v="0"/>
    <s v="los angeles"/>
    <s v="ca"/>
    <x v="3"/>
    <n v="499"/>
    <n v="2"/>
    <x v="13"/>
  </r>
  <r>
    <x v="2"/>
    <s v="phoenix"/>
    <s v="az"/>
    <x v="2"/>
    <n v="699"/>
    <n v="1"/>
    <x v="14"/>
  </r>
  <r>
    <x v="0"/>
    <s v="philadelphia"/>
    <s v="pa"/>
    <x v="1"/>
    <n v="899"/>
    <n v="2"/>
    <x v="15"/>
  </r>
  <r>
    <x v="3"/>
    <s v="chicago"/>
    <s v="il"/>
    <x v="1"/>
    <n v="899"/>
    <n v="5"/>
    <x v="3"/>
  </r>
  <r>
    <x v="3"/>
    <s v="san antonio"/>
    <s v="tx"/>
    <x v="4"/>
    <n v="299"/>
    <n v="3"/>
    <x v="6"/>
  </r>
  <r>
    <x v="1"/>
    <s v="phoenix"/>
    <s v="az"/>
    <x v="1"/>
    <n v="899"/>
    <n v="5"/>
    <x v="3"/>
  </r>
  <r>
    <x v="3"/>
    <s v="los angeles"/>
    <s v="ca"/>
    <x v="2"/>
    <n v="699"/>
    <n v="1"/>
    <x v="14"/>
  </r>
  <r>
    <x v="3"/>
    <s v="san diego"/>
    <s v="ca"/>
    <x v="0"/>
    <n v="89"/>
    <n v="2"/>
    <x v="16"/>
  </r>
  <r>
    <x v="0"/>
    <s v="chicago"/>
    <s v="il"/>
    <x v="2"/>
    <n v="699"/>
    <n v="5"/>
    <x v="17"/>
  </r>
  <r>
    <x v="3"/>
    <s v="philadelphia"/>
    <s v="pa"/>
    <x v="0"/>
    <n v="89"/>
    <n v="3"/>
    <x v="12"/>
  </r>
  <r>
    <x v="3"/>
    <s v="phoenix"/>
    <s v="az"/>
    <x v="2"/>
    <n v="699"/>
    <n v="3"/>
    <x v="18"/>
  </r>
  <r>
    <x v="0"/>
    <s v="phoenix"/>
    <s v="az"/>
    <x v="1"/>
    <n v="899"/>
    <n v="1"/>
    <x v="19"/>
  </r>
  <r>
    <x v="3"/>
    <s v="houston"/>
    <s v="tx"/>
    <x v="0"/>
    <n v="89"/>
    <n v="3"/>
    <x v="12"/>
  </r>
  <r>
    <x v="1"/>
    <s v="houston"/>
    <s v="tx"/>
    <x v="0"/>
    <n v="89"/>
    <n v="2"/>
    <x v="16"/>
  </r>
  <r>
    <x v="0"/>
    <s v="los angeles"/>
    <s v="ca"/>
    <x v="0"/>
    <n v="89"/>
    <n v="1"/>
    <x v="20"/>
  </r>
  <r>
    <x v="3"/>
    <s v="chicago"/>
    <s v="il"/>
    <x v="1"/>
    <n v="899"/>
    <n v="5"/>
    <x v="3"/>
  </r>
  <r>
    <x v="0"/>
    <s v="san antonio"/>
    <s v="tx"/>
    <x v="3"/>
    <n v="499"/>
    <n v="4"/>
    <x v="8"/>
  </r>
  <r>
    <x v="1"/>
    <s v="phoenix"/>
    <s v="az"/>
    <x v="0"/>
    <n v="89"/>
    <n v="3"/>
    <x v="12"/>
  </r>
  <r>
    <x v="3"/>
    <s v="houston"/>
    <s v="tx"/>
    <x v="1"/>
    <n v="899"/>
    <n v="5"/>
    <x v="3"/>
  </r>
  <r>
    <x v="3"/>
    <s v="phoenix"/>
    <s v="az"/>
    <x v="3"/>
    <n v="499"/>
    <n v="4"/>
    <x v="8"/>
  </r>
  <r>
    <x v="2"/>
    <s v="philadelphia"/>
    <s v="pa"/>
    <x v="0"/>
    <n v="89"/>
    <n v="1"/>
    <x v="20"/>
  </r>
  <r>
    <x v="3"/>
    <s v="san diego"/>
    <s v="ca"/>
    <x v="4"/>
    <n v="299"/>
    <n v="4"/>
    <x v="9"/>
  </r>
  <r>
    <x v="2"/>
    <s v="houston"/>
    <s v="tx"/>
    <x v="0"/>
    <n v="89"/>
    <n v="4"/>
    <x v="10"/>
  </r>
  <r>
    <x v="3"/>
    <s v="san diego"/>
    <s v="ca"/>
    <x v="4"/>
    <n v="299"/>
    <n v="2"/>
    <x v="21"/>
  </r>
  <r>
    <x v="0"/>
    <s v="los angeles"/>
    <s v="ca"/>
    <x v="0"/>
    <n v="89"/>
    <n v="5"/>
    <x v="0"/>
  </r>
  <r>
    <x v="3"/>
    <s v="chicago"/>
    <s v="il"/>
    <x v="2"/>
    <n v="699"/>
    <n v="2"/>
    <x v="2"/>
  </r>
  <r>
    <x v="0"/>
    <s v="san diego"/>
    <s v="ca"/>
    <x v="1"/>
    <n v="899"/>
    <n v="4"/>
    <x v="11"/>
  </r>
  <r>
    <x v="2"/>
    <s v="san antonio"/>
    <s v="tx"/>
    <x v="2"/>
    <n v="699"/>
    <n v="5"/>
    <x v="17"/>
  </r>
  <r>
    <x v="2"/>
    <s v="philadelphia"/>
    <s v="pa"/>
    <x v="0"/>
    <n v="89"/>
    <n v="3"/>
    <x v="12"/>
  </r>
  <r>
    <x v="0"/>
    <s v="philadelphia"/>
    <s v="pa"/>
    <x v="0"/>
    <n v="89"/>
    <n v="3"/>
    <x v="12"/>
  </r>
  <r>
    <x v="1"/>
    <s v="houston"/>
    <s v="tx"/>
    <x v="3"/>
    <n v="499"/>
    <n v="3"/>
    <x v="5"/>
  </r>
  <r>
    <x v="0"/>
    <s v="san diego"/>
    <s v="ca"/>
    <x v="3"/>
    <n v="499"/>
    <n v="1"/>
    <x v="22"/>
  </r>
  <r>
    <x v="2"/>
    <s v="los angeles"/>
    <s v="ca"/>
    <x v="2"/>
    <n v="699"/>
    <n v="2"/>
    <x v="2"/>
  </r>
  <r>
    <x v="2"/>
    <s v="phoenix"/>
    <s v="az"/>
    <x v="0"/>
    <n v="89"/>
    <n v="2"/>
    <x v="16"/>
  </r>
  <r>
    <x v="3"/>
    <s v="houston"/>
    <s v="tx"/>
    <x v="4"/>
    <n v="299"/>
    <n v="5"/>
    <x v="23"/>
  </r>
  <r>
    <x v="3"/>
    <s v="philadelphia"/>
    <s v="pa"/>
    <x v="2"/>
    <n v="699"/>
    <n v="5"/>
    <x v="17"/>
  </r>
  <r>
    <x v="3"/>
    <s v="houston"/>
    <s v="tx"/>
    <x v="3"/>
    <n v="499"/>
    <n v="5"/>
    <x v="4"/>
  </r>
  <r>
    <x v="1"/>
    <s v="los angeles"/>
    <s v="ca"/>
    <x v="2"/>
    <n v="699"/>
    <n v="5"/>
    <x v="17"/>
  </r>
  <r>
    <x v="0"/>
    <s v="phoenix"/>
    <s v="az"/>
    <x v="4"/>
    <n v="299"/>
    <n v="5"/>
    <x v="23"/>
  </r>
  <r>
    <x v="1"/>
    <s v="chicago"/>
    <s v="il"/>
    <x v="4"/>
    <n v="299"/>
    <n v="1"/>
    <x v="24"/>
  </r>
  <r>
    <x v="2"/>
    <s v="san diego"/>
    <s v="ca"/>
    <x v="0"/>
    <n v="89"/>
    <n v="2"/>
    <x v="16"/>
  </r>
  <r>
    <x v="1"/>
    <s v="philadelphia"/>
    <s v="pa"/>
    <x v="2"/>
    <n v="699"/>
    <n v="1"/>
    <x v="14"/>
  </r>
  <r>
    <x v="2"/>
    <s v="new york"/>
    <s v="ny"/>
    <x v="0"/>
    <n v="89"/>
    <n v="4"/>
    <x v="10"/>
  </r>
  <r>
    <x v="1"/>
    <s v="new york"/>
    <s v="ny"/>
    <x v="2"/>
    <n v="699"/>
    <n v="3"/>
    <x v="18"/>
  </r>
  <r>
    <x v="0"/>
    <s v="los angeles"/>
    <s v="ca"/>
    <x v="2"/>
    <n v="699"/>
    <n v="2"/>
    <x v="2"/>
  </r>
  <r>
    <x v="0"/>
    <s v="san antonio"/>
    <s v="tx"/>
    <x v="4"/>
    <n v="299"/>
    <n v="5"/>
    <x v="23"/>
  </r>
  <r>
    <x v="1"/>
    <s v="houston"/>
    <s v="tx"/>
    <x v="1"/>
    <n v="899"/>
    <n v="2"/>
    <x v="15"/>
  </r>
  <r>
    <x v="1"/>
    <s v="new york"/>
    <s v="ny"/>
    <x v="1"/>
    <n v="899"/>
    <n v="5"/>
    <x v="3"/>
  </r>
  <r>
    <x v="3"/>
    <s v="houston"/>
    <s v="tx"/>
    <x v="3"/>
    <n v="499"/>
    <n v="3"/>
    <x v="5"/>
  </r>
  <r>
    <x v="0"/>
    <s v="san diego"/>
    <s v="ca"/>
    <x v="0"/>
    <n v="89"/>
    <n v="5"/>
    <x v="0"/>
  </r>
  <r>
    <x v="2"/>
    <s v="san diego"/>
    <s v="ca"/>
    <x v="4"/>
    <n v="299"/>
    <n v="5"/>
    <x v="23"/>
  </r>
  <r>
    <x v="1"/>
    <s v="san antonio"/>
    <s v="tx"/>
    <x v="4"/>
    <n v="299"/>
    <n v="2"/>
    <x v="21"/>
  </r>
  <r>
    <x v="2"/>
    <s v="chicago"/>
    <s v="il"/>
    <x v="1"/>
    <n v="899"/>
    <n v="4"/>
    <x v="11"/>
  </r>
  <r>
    <x v="0"/>
    <s v="san antonio"/>
    <s v="tx"/>
    <x v="3"/>
    <n v="499"/>
    <n v="1"/>
    <x v="22"/>
  </r>
  <r>
    <x v="1"/>
    <s v="san antonio"/>
    <s v="tx"/>
    <x v="0"/>
    <n v="89"/>
    <n v="2"/>
    <x v="16"/>
  </r>
  <r>
    <x v="0"/>
    <s v="san antonio"/>
    <s v="tx"/>
    <x v="3"/>
    <n v="499"/>
    <n v="3"/>
    <x v="5"/>
  </r>
  <r>
    <x v="3"/>
    <s v="san diego"/>
    <s v="ca"/>
    <x v="3"/>
    <n v="499"/>
    <n v="4"/>
    <x v="8"/>
  </r>
  <r>
    <x v="2"/>
    <s v="los angeles"/>
    <s v="ca"/>
    <x v="3"/>
    <n v="499"/>
    <n v="3"/>
    <x v="5"/>
  </r>
  <r>
    <x v="0"/>
    <s v="philadelphia"/>
    <s v="pa"/>
    <x v="1"/>
    <n v="899"/>
    <n v="1"/>
    <x v="19"/>
  </r>
  <r>
    <x v="1"/>
    <s v="phoenix"/>
    <s v="az"/>
    <x v="1"/>
    <n v="899"/>
    <n v="4"/>
    <x v="11"/>
  </r>
  <r>
    <x v="1"/>
    <s v="houston"/>
    <s v="tx"/>
    <x v="1"/>
    <n v="899"/>
    <n v="5"/>
    <x v="3"/>
  </r>
  <r>
    <x v="2"/>
    <s v="los angeles"/>
    <s v="ca"/>
    <x v="3"/>
    <n v="499"/>
    <n v="1"/>
    <x v="22"/>
  </r>
  <r>
    <x v="2"/>
    <s v="chicago"/>
    <s v="il"/>
    <x v="2"/>
    <n v="699"/>
    <n v="4"/>
    <x v="7"/>
  </r>
  <r>
    <x v="1"/>
    <s v="houston"/>
    <s v="tx"/>
    <x v="1"/>
    <n v="899"/>
    <n v="1"/>
    <x v="19"/>
  </r>
  <r>
    <x v="0"/>
    <s v="philadelphia"/>
    <s v="pa"/>
    <x v="1"/>
    <n v="899"/>
    <n v="5"/>
    <x v="3"/>
  </r>
  <r>
    <x v="0"/>
    <s v="chicago"/>
    <s v="il"/>
    <x v="1"/>
    <n v="899"/>
    <n v="3"/>
    <x v="1"/>
  </r>
  <r>
    <x v="1"/>
    <s v="new york"/>
    <s v="ny"/>
    <x v="2"/>
    <n v="699"/>
    <n v="1"/>
    <x v="14"/>
  </r>
  <r>
    <x v="2"/>
    <s v="philadelphia"/>
    <s v="pa"/>
    <x v="0"/>
    <n v="89"/>
    <n v="1"/>
    <x v="20"/>
  </r>
  <r>
    <x v="2"/>
    <s v="phoenix"/>
    <s v="az"/>
    <x v="0"/>
    <n v="89"/>
    <n v="4"/>
    <x v="10"/>
  </r>
  <r>
    <x v="2"/>
    <s v="new york"/>
    <s v="ny"/>
    <x v="4"/>
    <n v="299"/>
    <n v="3"/>
    <x v="6"/>
  </r>
  <r>
    <x v="1"/>
    <s v="san antonio"/>
    <s v="tx"/>
    <x v="2"/>
    <n v="699"/>
    <n v="2"/>
    <x v="2"/>
  </r>
  <r>
    <x v="1"/>
    <s v="chicago"/>
    <s v="il"/>
    <x v="3"/>
    <n v="499"/>
    <n v="5"/>
    <x v="4"/>
  </r>
  <r>
    <x v="0"/>
    <s v="los angeles"/>
    <s v="ca"/>
    <x v="4"/>
    <n v="299"/>
    <n v="1"/>
    <x v="2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D6754B-9F16-4909-8C3D-B2BBB24145C7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B109:H115" firstHeaderRow="1" firstDataRow="2" firstDataCol="1"/>
  <pivotFields count="7">
    <pivotField axis="axisRow" showAll="0">
      <items count="5">
        <item x="3"/>
        <item x="2"/>
        <item x="0"/>
        <item x="1"/>
        <item t="default"/>
      </items>
    </pivotField>
    <pivotField showAll="0"/>
    <pivotField showAll="0"/>
    <pivotField axis="axisCol" showAll="0">
      <items count="6">
        <item x="0"/>
        <item x="1"/>
        <item x="4"/>
        <item x="2"/>
        <item x="3"/>
        <item t="default"/>
      </items>
    </pivotField>
    <pivotField showAll="0"/>
    <pivotField showAll="0"/>
    <pivotField dataField="1" showAll="0">
      <items count="26">
        <item x="20"/>
        <item x="16"/>
        <item x="12"/>
        <item x="24"/>
        <item x="10"/>
        <item x="0"/>
        <item x="22"/>
        <item x="21"/>
        <item x="14"/>
        <item x="6"/>
        <item x="19"/>
        <item x="13"/>
        <item x="9"/>
        <item x="2"/>
        <item x="23"/>
        <item x="5"/>
        <item x="15"/>
        <item x="8"/>
        <item x="18"/>
        <item x="4"/>
        <item x="1"/>
        <item x="7"/>
        <item x="17"/>
        <item x="11"/>
        <item x="3"/>
        <item t="default"/>
      </items>
    </pivotField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TotalSales" fld="6" baseField="0" baseItem="0"/>
  </dataFields>
  <chartFormats count="6">
    <chartFormat chart="0" format="2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2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2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0" format="3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5"/>
  <sheetViews>
    <sheetView tabSelected="1" zoomScale="120" zoomScaleNormal="120" workbookViewId="0">
      <selection activeCell="D2" sqref="D2"/>
    </sheetView>
  </sheetViews>
  <sheetFormatPr defaultRowHeight="14.5" x14ac:dyDescent="0.35"/>
  <cols>
    <col min="2" max="2" width="15.90625" bestFit="1" customWidth="1"/>
    <col min="3" max="3" width="15.81640625" bestFit="1" customWidth="1"/>
    <col min="4" max="4" width="20.1796875" customWidth="1"/>
    <col min="5" max="5" width="7.90625" bestFit="1" customWidth="1"/>
    <col min="6" max="6" width="6.36328125" bestFit="1" customWidth="1"/>
    <col min="7" max="7" width="6.26953125" bestFit="1" customWidth="1"/>
    <col min="8" max="8" width="11" bestFit="1" customWidth="1"/>
    <col min="9" max="9" width="16.36328125" customWidth="1"/>
    <col min="10" max="10" width="19.1796875" customWidth="1"/>
    <col min="11" max="11" width="28.453125" customWidth="1"/>
    <col min="12" max="12" width="31.26953125" customWidth="1"/>
    <col min="13" max="13" width="23.36328125" customWidth="1"/>
    <col min="14" max="14" width="19.08984375" customWidth="1"/>
    <col min="15" max="27" width="4.90625" bestFit="1" customWidth="1"/>
    <col min="28" max="28" width="11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168</v>
      </c>
      <c r="M1" t="s">
        <v>169</v>
      </c>
    </row>
    <row r="2" spans="1:13" x14ac:dyDescent="0.35">
      <c r="A2">
        <v>2001</v>
      </c>
      <c r="B2" t="s">
        <v>222</v>
      </c>
      <c r="C2" t="s">
        <v>11</v>
      </c>
      <c r="D2" t="s">
        <v>12</v>
      </c>
      <c r="E2" t="s">
        <v>13</v>
      </c>
      <c r="F2" t="s">
        <v>173</v>
      </c>
      <c r="G2">
        <v>89</v>
      </c>
      <c r="H2">
        <v>5</v>
      </c>
      <c r="I2">
        <v>445</v>
      </c>
      <c r="J2" t="s">
        <v>14</v>
      </c>
      <c r="K2" t="s">
        <v>15</v>
      </c>
      <c r="L2" t="str">
        <f>TRIM(CLEAN(PROPER(B2)))</f>
        <v>Patricia Taylor</v>
      </c>
      <c r="M2" t="str">
        <f t="shared" ref="M2:M65" si="0">CLEAN(PROPER(_xlfn.CONCAT(D2,","," ",E2)))</f>
        <v>Chicago, Il</v>
      </c>
    </row>
    <row r="3" spans="1:13" x14ac:dyDescent="0.35">
      <c r="A3">
        <v>2002</v>
      </c>
      <c r="B3" t="s">
        <v>183</v>
      </c>
      <c r="C3" t="s">
        <v>11</v>
      </c>
      <c r="D3" t="s">
        <v>16</v>
      </c>
      <c r="E3" t="s">
        <v>17</v>
      </c>
      <c r="F3" t="s">
        <v>174</v>
      </c>
      <c r="G3">
        <v>899</v>
      </c>
      <c r="H3">
        <v>3</v>
      </c>
      <c r="I3">
        <v>2697</v>
      </c>
      <c r="J3" t="s">
        <v>18</v>
      </c>
      <c r="K3" t="s">
        <v>19</v>
      </c>
      <c r="L3" t="str">
        <f>TRIM(CLEAN(PROPER(B3)))</f>
        <v>Robert Wilson</v>
      </c>
      <c r="M3" t="str">
        <f t="shared" si="0"/>
        <v>San Antonio, Tx</v>
      </c>
    </row>
    <row r="4" spans="1:13" x14ac:dyDescent="0.35">
      <c r="A4">
        <v>2003</v>
      </c>
      <c r="B4" t="s">
        <v>175</v>
      </c>
      <c r="C4" t="s">
        <v>20</v>
      </c>
      <c r="D4" t="s">
        <v>12</v>
      </c>
      <c r="E4" t="s">
        <v>13</v>
      </c>
      <c r="F4" t="s">
        <v>171</v>
      </c>
      <c r="G4">
        <v>699</v>
      </c>
      <c r="H4">
        <v>2</v>
      </c>
      <c r="I4">
        <v>1398</v>
      </c>
      <c r="J4" t="s">
        <v>21</v>
      </c>
      <c r="K4" t="s">
        <v>22</v>
      </c>
      <c r="L4" t="str">
        <f t="shared" ref="L4:L66" si="1">TRIM(CLEAN(PROPER(B4)))</f>
        <v>Michael Jackson</v>
      </c>
      <c r="M4" t="str">
        <f t="shared" si="0"/>
        <v>Chicago, Il</v>
      </c>
    </row>
    <row r="5" spans="1:13" x14ac:dyDescent="0.35">
      <c r="A5">
        <v>2004</v>
      </c>
      <c r="B5" t="s">
        <v>184</v>
      </c>
      <c r="C5" t="s">
        <v>20</v>
      </c>
      <c r="D5" t="s">
        <v>23</v>
      </c>
      <c r="E5" t="s">
        <v>24</v>
      </c>
      <c r="F5" t="s">
        <v>174</v>
      </c>
      <c r="G5">
        <v>899</v>
      </c>
      <c r="H5">
        <v>5</v>
      </c>
      <c r="I5">
        <v>4495</v>
      </c>
      <c r="J5" t="s">
        <v>25</v>
      </c>
      <c r="K5" t="s">
        <v>26</v>
      </c>
      <c r="L5" t="str">
        <f t="shared" si="1"/>
        <v>Michael Thomas</v>
      </c>
      <c r="M5" t="str">
        <f t="shared" si="0"/>
        <v>San Diego, Ca</v>
      </c>
    </row>
    <row r="6" spans="1:13" x14ac:dyDescent="0.35">
      <c r="A6">
        <v>2005</v>
      </c>
      <c r="B6" t="s">
        <v>221</v>
      </c>
      <c r="C6" t="s">
        <v>20</v>
      </c>
      <c r="D6" t="s">
        <v>27</v>
      </c>
      <c r="E6" t="s">
        <v>17</v>
      </c>
      <c r="F6" t="s">
        <v>173</v>
      </c>
      <c r="G6">
        <v>89</v>
      </c>
      <c r="H6">
        <v>5</v>
      </c>
      <c r="I6">
        <v>445</v>
      </c>
      <c r="J6" t="s">
        <v>28</v>
      </c>
      <c r="K6" t="s">
        <v>29</v>
      </c>
      <c r="L6" t="str">
        <f t="shared" si="1"/>
        <v>Robert Johnson</v>
      </c>
      <c r="M6" t="str">
        <f t="shared" si="0"/>
        <v>Houston, Tx</v>
      </c>
    </row>
    <row r="7" spans="1:13" x14ac:dyDescent="0.35">
      <c r="A7">
        <v>2006</v>
      </c>
      <c r="B7" t="s">
        <v>185</v>
      </c>
      <c r="C7" t="s">
        <v>20</v>
      </c>
      <c r="D7" t="s">
        <v>27</v>
      </c>
      <c r="E7" t="s">
        <v>17</v>
      </c>
      <c r="F7" t="s">
        <v>170</v>
      </c>
      <c r="G7">
        <v>499</v>
      </c>
      <c r="H7">
        <v>5</v>
      </c>
      <c r="I7">
        <v>2495</v>
      </c>
      <c r="J7" t="s">
        <v>30</v>
      </c>
      <c r="K7" t="s">
        <v>31</v>
      </c>
      <c r="L7" t="str">
        <f t="shared" si="1"/>
        <v>Mary Wilson</v>
      </c>
      <c r="M7" t="str">
        <f t="shared" si="0"/>
        <v>Houston, Tx</v>
      </c>
    </row>
    <row r="8" spans="1:13" x14ac:dyDescent="0.35">
      <c r="A8">
        <v>2007</v>
      </c>
      <c r="B8" t="s">
        <v>186</v>
      </c>
      <c r="C8" t="s">
        <v>32</v>
      </c>
      <c r="D8" t="s">
        <v>33</v>
      </c>
      <c r="E8" t="s">
        <v>24</v>
      </c>
      <c r="F8" t="s">
        <v>170</v>
      </c>
      <c r="G8">
        <v>499</v>
      </c>
      <c r="H8">
        <v>3</v>
      </c>
      <c r="I8">
        <v>1497</v>
      </c>
      <c r="J8" t="s">
        <v>34</v>
      </c>
      <c r="K8" t="s">
        <v>35</v>
      </c>
      <c r="L8" t="str">
        <f t="shared" si="1"/>
        <v>Michael Taylor</v>
      </c>
      <c r="M8" t="str">
        <f t="shared" si="0"/>
        <v>Los Angeles, Ca</v>
      </c>
    </row>
    <row r="9" spans="1:13" x14ac:dyDescent="0.35">
      <c r="A9">
        <v>2008</v>
      </c>
      <c r="B9" t="s">
        <v>220</v>
      </c>
      <c r="C9" t="s">
        <v>20</v>
      </c>
      <c r="D9" t="s">
        <v>12</v>
      </c>
      <c r="E9" t="s">
        <v>13</v>
      </c>
      <c r="F9" t="s">
        <v>172</v>
      </c>
      <c r="G9">
        <v>299</v>
      </c>
      <c r="H9">
        <v>3</v>
      </c>
      <c r="I9">
        <v>897</v>
      </c>
      <c r="J9" t="s">
        <v>36</v>
      </c>
      <c r="K9" t="s">
        <v>37</v>
      </c>
      <c r="L9" t="str">
        <f t="shared" si="1"/>
        <v>Robert Davis</v>
      </c>
      <c r="M9" t="str">
        <f t="shared" si="0"/>
        <v>Chicago, Il</v>
      </c>
    </row>
    <row r="10" spans="1:13" x14ac:dyDescent="0.35">
      <c r="A10">
        <v>2009</v>
      </c>
      <c r="B10" t="s">
        <v>176</v>
      </c>
      <c r="C10" t="s">
        <v>11</v>
      </c>
      <c r="D10" t="s">
        <v>12</v>
      </c>
      <c r="E10" t="s">
        <v>13</v>
      </c>
      <c r="F10" t="s">
        <v>171</v>
      </c>
      <c r="G10">
        <v>699</v>
      </c>
      <c r="H10">
        <v>4</v>
      </c>
      <c r="I10">
        <v>2796</v>
      </c>
      <c r="J10" t="s">
        <v>38</v>
      </c>
      <c r="K10" t="s">
        <v>39</v>
      </c>
      <c r="L10" t="str">
        <f t="shared" si="1"/>
        <v>Elizabeth Brown</v>
      </c>
      <c r="M10" t="str">
        <f t="shared" si="0"/>
        <v>Chicago, Il</v>
      </c>
    </row>
    <row r="11" spans="1:13" x14ac:dyDescent="0.35">
      <c r="A11">
        <v>2010</v>
      </c>
      <c r="B11" t="s">
        <v>187</v>
      </c>
      <c r="C11" t="s">
        <v>40</v>
      </c>
      <c r="D11" t="s">
        <v>33</v>
      </c>
      <c r="E11" t="s">
        <v>24</v>
      </c>
      <c r="F11" t="s">
        <v>174</v>
      </c>
      <c r="G11">
        <v>899</v>
      </c>
      <c r="H11">
        <v>5</v>
      </c>
      <c r="I11">
        <v>4495</v>
      </c>
      <c r="J11" t="s">
        <v>41</v>
      </c>
      <c r="K11" t="s">
        <v>42</v>
      </c>
      <c r="L11" t="str">
        <f t="shared" si="1"/>
        <v>Elizabeth Johnson</v>
      </c>
      <c r="M11" t="str">
        <f t="shared" si="0"/>
        <v>Los Angeles, Ca</v>
      </c>
    </row>
    <row r="12" spans="1:13" x14ac:dyDescent="0.35">
      <c r="A12">
        <v>2011</v>
      </c>
      <c r="B12" t="s">
        <v>177</v>
      </c>
      <c r="C12" t="s">
        <v>40</v>
      </c>
      <c r="D12" t="s">
        <v>27</v>
      </c>
      <c r="E12" t="s">
        <v>17</v>
      </c>
      <c r="F12" t="s">
        <v>174</v>
      </c>
      <c r="G12">
        <v>899</v>
      </c>
      <c r="H12">
        <v>5</v>
      </c>
      <c r="I12">
        <v>4495</v>
      </c>
      <c r="J12" t="s">
        <v>43</v>
      </c>
      <c r="K12" t="s">
        <v>44</v>
      </c>
      <c r="L12" t="str">
        <f t="shared" si="1"/>
        <v>Elizabeth Moore</v>
      </c>
      <c r="M12" t="str">
        <f t="shared" si="0"/>
        <v>Houston, Tx</v>
      </c>
    </row>
    <row r="13" spans="1:13" x14ac:dyDescent="0.35">
      <c r="A13">
        <v>2012</v>
      </c>
      <c r="B13" t="s">
        <v>47</v>
      </c>
      <c r="C13" t="s">
        <v>32</v>
      </c>
      <c r="D13" t="s">
        <v>27</v>
      </c>
      <c r="E13" t="s">
        <v>17</v>
      </c>
      <c r="F13" t="s">
        <v>174</v>
      </c>
      <c r="G13">
        <v>899</v>
      </c>
      <c r="H13">
        <v>3</v>
      </c>
      <c r="I13">
        <v>2697</v>
      </c>
      <c r="J13" t="s">
        <v>45</v>
      </c>
      <c r="K13" t="s">
        <v>46</v>
      </c>
      <c r="L13" t="str">
        <f t="shared" si="1"/>
        <v>Barbara Davis</v>
      </c>
      <c r="M13" t="str">
        <f t="shared" si="0"/>
        <v>Houston, Tx</v>
      </c>
    </row>
    <row r="14" spans="1:13" x14ac:dyDescent="0.35">
      <c r="A14">
        <v>2013</v>
      </c>
      <c r="B14" t="s">
        <v>50</v>
      </c>
      <c r="C14" t="s">
        <v>11</v>
      </c>
      <c r="D14" t="s">
        <v>12</v>
      </c>
      <c r="E14" t="s">
        <v>13</v>
      </c>
      <c r="F14" t="s">
        <v>170</v>
      </c>
      <c r="G14">
        <v>499</v>
      </c>
      <c r="H14">
        <v>4</v>
      </c>
      <c r="I14">
        <v>1996</v>
      </c>
      <c r="J14" t="s">
        <v>48</v>
      </c>
      <c r="K14" t="s">
        <v>49</v>
      </c>
      <c r="L14" t="str">
        <f t="shared" si="1"/>
        <v>Barbara Thomas</v>
      </c>
      <c r="M14" t="str">
        <f t="shared" si="0"/>
        <v>Chicago, Il</v>
      </c>
    </row>
    <row r="15" spans="1:13" x14ac:dyDescent="0.35">
      <c r="A15">
        <v>2014</v>
      </c>
      <c r="B15" t="s">
        <v>219</v>
      </c>
      <c r="C15" t="s">
        <v>32</v>
      </c>
      <c r="D15" t="s">
        <v>51</v>
      </c>
      <c r="E15" t="s">
        <v>52</v>
      </c>
      <c r="F15" t="s">
        <v>170</v>
      </c>
      <c r="G15">
        <v>499</v>
      </c>
      <c r="H15">
        <v>3</v>
      </c>
      <c r="I15">
        <v>1497</v>
      </c>
      <c r="J15" t="s">
        <v>53</v>
      </c>
      <c r="K15" t="s">
        <v>54</v>
      </c>
      <c r="L15" t="str">
        <f t="shared" si="1"/>
        <v>Patricia Johnson</v>
      </c>
      <c r="M15" t="str">
        <f t="shared" si="0"/>
        <v>Philadelphia, Pa</v>
      </c>
    </row>
    <row r="16" spans="1:13" x14ac:dyDescent="0.35">
      <c r="A16">
        <v>2015</v>
      </c>
      <c r="B16" t="s">
        <v>188</v>
      </c>
      <c r="C16" t="s">
        <v>40</v>
      </c>
      <c r="D16" t="s">
        <v>55</v>
      </c>
      <c r="E16" t="s">
        <v>56</v>
      </c>
      <c r="F16" t="s">
        <v>172</v>
      </c>
      <c r="G16">
        <v>299</v>
      </c>
      <c r="H16">
        <v>4</v>
      </c>
      <c r="I16">
        <v>1196</v>
      </c>
      <c r="J16" t="s">
        <v>57</v>
      </c>
      <c r="K16" t="s">
        <v>58</v>
      </c>
      <c r="L16" t="str">
        <f t="shared" si="1"/>
        <v>Elizabeth Wilson</v>
      </c>
      <c r="M16" t="str">
        <f t="shared" si="0"/>
        <v>New York, Ny</v>
      </c>
    </row>
    <row r="17" spans="1:13" x14ac:dyDescent="0.35">
      <c r="A17">
        <v>2016</v>
      </c>
      <c r="B17" t="s">
        <v>226</v>
      </c>
      <c r="C17" t="s">
        <v>20</v>
      </c>
      <c r="D17" t="s">
        <v>59</v>
      </c>
      <c r="E17" t="s">
        <v>60</v>
      </c>
      <c r="F17" t="s">
        <v>170</v>
      </c>
      <c r="G17">
        <v>499</v>
      </c>
      <c r="H17">
        <v>4</v>
      </c>
      <c r="I17">
        <v>1996</v>
      </c>
      <c r="J17" t="s">
        <v>61</v>
      </c>
      <c r="K17" t="s">
        <v>62</v>
      </c>
      <c r="L17" t="str">
        <f t="shared" si="1"/>
        <v>Robert Taylor</v>
      </c>
      <c r="M17" t="str">
        <f t="shared" si="0"/>
        <v>Phoenix, Az</v>
      </c>
    </row>
    <row r="18" spans="1:13" x14ac:dyDescent="0.35">
      <c r="A18">
        <v>2017</v>
      </c>
      <c r="B18" t="s">
        <v>178</v>
      </c>
      <c r="C18" t="s">
        <v>11</v>
      </c>
      <c r="D18" t="s">
        <v>51</v>
      </c>
      <c r="E18" t="s">
        <v>52</v>
      </c>
      <c r="F18" t="s">
        <v>170</v>
      </c>
      <c r="G18">
        <v>499</v>
      </c>
      <c r="H18">
        <v>4</v>
      </c>
      <c r="I18">
        <v>1996</v>
      </c>
      <c r="J18" t="s">
        <v>63</v>
      </c>
      <c r="K18" t="s">
        <v>64</v>
      </c>
      <c r="L18" t="str">
        <f t="shared" si="1"/>
        <v>Michael Moore</v>
      </c>
      <c r="M18" t="str">
        <f t="shared" si="0"/>
        <v>Philadelphia, Pa</v>
      </c>
    </row>
    <row r="19" spans="1:13" x14ac:dyDescent="0.35">
      <c r="A19">
        <v>2018</v>
      </c>
      <c r="B19" t="s">
        <v>223</v>
      </c>
      <c r="C19" t="s">
        <v>11</v>
      </c>
      <c r="D19" t="s">
        <v>23</v>
      </c>
      <c r="E19" t="s">
        <v>24</v>
      </c>
      <c r="F19" t="s">
        <v>173</v>
      </c>
      <c r="G19">
        <v>89</v>
      </c>
      <c r="H19">
        <v>4</v>
      </c>
      <c r="I19">
        <v>356</v>
      </c>
      <c r="J19" t="s">
        <v>65</v>
      </c>
      <c r="K19" t="s">
        <v>66</v>
      </c>
      <c r="L19" t="str">
        <f t="shared" si="1"/>
        <v>Patricia Moore</v>
      </c>
      <c r="M19" t="str">
        <f t="shared" si="0"/>
        <v>San Diego, Ca</v>
      </c>
    </row>
    <row r="20" spans="1:13" x14ac:dyDescent="0.35">
      <c r="A20">
        <v>2019</v>
      </c>
      <c r="B20" t="s">
        <v>69</v>
      </c>
      <c r="C20" t="s">
        <v>11</v>
      </c>
      <c r="D20" t="s">
        <v>27</v>
      </c>
      <c r="E20" t="s">
        <v>17</v>
      </c>
      <c r="F20" t="s">
        <v>172</v>
      </c>
      <c r="G20">
        <v>299</v>
      </c>
      <c r="H20">
        <v>4</v>
      </c>
      <c r="I20">
        <v>1196</v>
      </c>
      <c r="J20" t="s">
        <v>67</v>
      </c>
      <c r="K20" t="s">
        <v>68</v>
      </c>
      <c r="L20" t="str">
        <f t="shared" si="1"/>
        <v>Linda Anderson</v>
      </c>
      <c r="M20" t="str">
        <f t="shared" si="0"/>
        <v>Houston, Tx</v>
      </c>
    </row>
    <row r="21" spans="1:13" x14ac:dyDescent="0.35">
      <c r="A21">
        <v>2020</v>
      </c>
      <c r="B21" t="s">
        <v>218</v>
      </c>
      <c r="C21" t="s">
        <v>32</v>
      </c>
      <c r="D21" t="s">
        <v>27</v>
      </c>
      <c r="E21" t="s">
        <v>17</v>
      </c>
      <c r="F21" t="s">
        <v>171</v>
      </c>
      <c r="G21">
        <v>699</v>
      </c>
      <c r="H21">
        <v>2</v>
      </c>
      <c r="I21">
        <v>1398</v>
      </c>
      <c r="J21" t="s">
        <v>70</v>
      </c>
      <c r="K21" t="s">
        <v>71</v>
      </c>
      <c r="L21" t="str">
        <f t="shared" si="1"/>
        <v>William Anderson</v>
      </c>
      <c r="M21" t="str">
        <f t="shared" si="0"/>
        <v>Houston, Tx</v>
      </c>
    </row>
    <row r="22" spans="1:13" x14ac:dyDescent="0.35">
      <c r="A22">
        <v>2006</v>
      </c>
      <c r="B22" t="s">
        <v>189</v>
      </c>
      <c r="C22" t="s">
        <v>20</v>
      </c>
      <c r="D22" t="s">
        <v>27</v>
      </c>
      <c r="E22" t="s">
        <v>17</v>
      </c>
      <c r="F22" t="s">
        <v>170</v>
      </c>
      <c r="G22">
        <v>499</v>
      </c>
      <c r="H22">
        <v>5</v>
      </c>
      <c r="I22">
        <v>2495</v>
      </c>
      <c r="J22" t="s">
        <v>72</v>
      </c>
      <c r="K22" t="s">
        <v>31</v>
      </c>
      <c r="L22" t="str">
        <f t="shared" si="1"/>
        <v>Linda Moore</v>
      </c>
      <c r="M22" t="str">
        <f t="shared" si="0"/>
        <v>Houston, Tx</v>
      </c>
    </row>
    <row r="23" spans="1:13" x14ac:dyDescent="0.35">
      <c r="A23">
        <v>2022</v>
      </c>
      <c r="B23" t="s">
        <v>179</v>
      </c>
      <c r="C23" t="s">
        <v>40</v>
      </c>
      <c r="D23" t="s">
        <v>27</v>
      </c>
      <c r="E23" t="s">
        <v>17</v>
      </c>
      <c r="F23" t="s">
        <v>173</v>
      </c>
      <c r="G23">
        <v>89</v>
      </c>
      <c r="H23">
        <v>5</v>
      </c>
      <c r="I23">
        <v>445</v>
      </c>
      <c r="J23" t="s">
        <v>74</v>
      </c>
      <c r="K23" t="s">
        <v>73</v>
      </c>
      <c r="L23" t="str">
        <f t="shared" si="1"/>
        <v>James Moore</v>
      </c>
      <c r="M23" t="str">
        <f t="shared" si="0"/>
        <v>Houston, Tx</v>
      </c>
    </row>
    <row r="24" spans="1:13" x14ac:dyDescent="0.35">
      <c r="A24">
        <v>2023</v>
      </c>
      <c r="B24" t="s">
        <v>190</v>
      </c>
      <c r="C24" t="s">
        <v>11</v>
      </c>
      <c r="D24" t="s">
        <v>27</v>
      </c>
      <c r="E24" t="s">
        <v>17</v>
      </c>
      <c r="F24" t="s">
        <v>171</v>
      </c>
      <c r="G24">
        <v>699</v>
      </c>
      <c r="H24">
        <v>2</v>
      </c>
      <c r="I24">
        <v>1398</v>
      </c>
      <c r="J24" t="s">
        <v>76</v>
      </c>
      <c r="K24" t="s">
        <v>75</v>
      </c>
      <c r="L24" t="str">
        <f t="shared" si="1"/>
        <v>Mary Davis</v>
      </c>
      <c r="M24" t="str">
        <f t="shared" si="0"/>
        <v>Houston, Tx</v>
      </c>
    </row>
    <row r="25" spans="1:13" x14ac:dyDescent="0.35">
      <c r="A25">
        <v>2024</v>
      </c>
      <c r="B25" t="s">
        <v>215</v>
      </c>
      <c r="C25" t="s">
        <v>32</v>
      </c>
      <c r="D25" t="s">
        <v>23</v>
      </c>
      <c r="E25" t="s">
        <v>24</v>
      </c>
      <c r="F25" t="s">
        <v>174</v>
      </c>
      <c r="G25">
        <v>899</v>
      </c>
      <c r="H25">
        <v>4</v>
      </c>
      <c r="I25">
        <v>3596</v>
      </c>
      <c r="J25" t="s">
        <v>78</v>
      </c>
      <c r="K25" t="s">
        <v>77</v>
      </c>
      <c r="L25" t="str">
        <f t="shared" si="1"/>
        <v>Patricia Jackson</v>
      </c>
      <c r="M25" t="str">
        <f t="shared" si="0"/>
        <v>San Diego, Ca</v>
      </c>
    </row>
    <row r="26" spans="1:13" x14ac:dyDescent="0.35">
      <c r="A26">
        <v>2025</v>
      </c>
      <c r="B26" t="s">
        <v>216</v>
      </c>
      <c r="C26" t="s">
        <v>40</v>
      </c>
      <c r="D26" t="s">
        <v>33</v>
      </c>
      <c r="E26" t="s">
        <v>24</v>
      </c>
      <c r="F26" t="s">
        <v>172</v>
      </c>
      <c r="G26">
        <v>299</v>
      </c>
      <c r="H26">
        <v>3</v>
      </c>
      <c r="I26">
        <v>897</v>
      </c>
      <c r="J26" t="s">
        <v>80</v>
      </c>
      <c r="K26" t="s">
        <v>79</v>
      </c>
      <c r="L26" t="str">
        <f t="shared" si="1"/>
        <v>Robert Anderson</v>
      </c>
      <c r="M26" t="str">
        <f t="shared" si="0"/>
        <v>Los Angeles, Ca</v>
      </c>
    </row>
    <row r="27" spans="1:13" x14ac:dyDescent="0.35">
      <c r="A27">
        <v>2026</v>
      </c>
      <c r="B27" t="s">
        <v>89</v>
      </c>
      <c r="C27" t="s">
        <v>40</v>
      </c>
      <c r="D27" t="s">
        <v>33</v>
      </c>
      <c r="E27" t="s">
        <v>24</v>
      </c>
      <c r="F27" t="s">
        <v>173</v>
      </c>
      <c r="G27">
        <v>89</v>
      </c>
      <c r="H27">
        <v>3</v>
      </c>
      <c r="I27">
        <v>267</v>
      </c>
      <c r="J27" t="s">
        <v>82</v>
      </c>
      <c r="K27" t="s">
        <v>81</v>
      </c>
      <c r="L27" t="str">
        <f t="shared" si="1"/>
        <v>Barbara Taylor</v>
      </c>
      <c r="M27" t="str">
        <f t="shared" si="0"/>
        <v>Los Angeles, Ca</v>
      </c>
    </row>
    <row r="28" spans="1:13" x14ac:dyDescent="0.35">
      <c r="A28">
        <v>2027</v>
      </c>
      <c r="B28" t="s">
        <v>91</v>
      </c>
      <c r="C28" t="s">
        <v>11</v>
      </c>
      <c r="D28" t="s">
        <v>23</v>
      </c>
      <c r="E28" t="s">
        <v>24</v>
      </c>
      <c r="F28" t="s">
        <v>174</v>
      </c>
      <c r="G28">
        <v>899</v>
      </c>
      <c r="H28">
        <v>5</v>
      </c>
      <c r="I28">
        <v>4495</v>
      </c>
      <c r="J28" t="s">
        <v>84</v>
      </c>
      <c r="K28" t="s">
        <v>83</v>
      </c>
      <c r="L28" t="str">
        <f t="shared" si="1"/>
        <v>Linda Davis</v>
      </c>
      <c r="M28" t="str">
        <f t="shared" si="0"/>
        <v>San Diego, Ca</v>
      </c>
    </row>
    <row r="29" spans="1:13" x14ac:dyDescent="0.35">
      <c r="A29">
        <v>2028</v>
      </c>
      <c r="B29" t="s">
        <v>180</v>
      </c>
      <c r="C29" t="s">
        <v>11</v>
      </c>
      <c r="D29" t="s">
        <v>33</v>
      </c>
      <c r="E29" t="s">
        <v>24</v>
      </c>
      <c r="F29" t="s">
        <v>170</v>
      </c>
      <c r="G29">
        <v>499</v>
      </c>
      <c r="H29">
        <v>2</v>
      </c>
      <c r="I29">
        <v>998</v>
      </c>
      <c r="J29" t="s">
        <v>110</v>
      </c>
      <c r="K29" t="s">
        <v>85</v>
      </c>
      <c r="L29" t="str">
        <f t="shared" si="1"/>
        <v>James Jackson</v>
      </c>
      <c r="M29" t="str">
        <f t="shared" si="0"/>
        <v>Los Angeles, Ca</v>
      </c>
    </row>
    <row r="30" spans="1:13" x14ac:dyDescent="0.35">
      <c r="A30">
        <v>2029</v>
      </c>
      <c r="B30" t="s">
        <v>95</v>
      </c>
      <c r="C30" t="s">
        <v>32</v>
      </c>
      <c r="D30" t="s">
        <v>59</v>
      </c>
      <c r="E30" t="s">
        <v>60</v>
      </c>
      <c r="F30" t="s">
        <v>171</v>
      </c>
      <c r="G30">
        <v>699</v>
      </c>
      <c r="H30">
        <v>1</v>
      </c>
      <c r="I30">
        <v>699</v>
      </c>
      <c r="K30" t="s">
        <v>86</v>
      </c>
      <c r="L30" t="str">
        <f t="shared" si="1"/>
        <v>Barbara Johnson</v>
      </c>
      <c r="M30" t="str">
        <f t="shared" si="0"/>
        <v>Phoenix, Az</v>
      </c>
    </row>
    <row r="31" spans="1:13" x14ac:dyDescent="0.35">
      <c r="A31">
        <v>2030</v>
      </c>
      <c r="B31" t="s">
        <v>214</v>
      </c>
      <c r="C31" t="s">
        <v>11</v>
      </c>
      <c r="D31" t="s">
        <v>51</v>
      </c>
      <c r="E31" t="s">
        <v>52</v>
      </c>
      <c r="F31" t="s">
        <v>174</v>
      </c>
      <c r="G31">
        <v>899</v>
      </c>
      <c r="H31">
        <v>2</v>
      </c>
      <c r="I31">
        <v>1798</v>
      </c>
      <c r="K31" t="s">
        <v>87</v>
      </c>
      <c r="L31" t="str">
        <f t="shared" si="1"/>
        <v>William Taylor</v>
      </c>
      <c r="M31" t="str">
        <f t="shared" si="0"/>
        <v>Philadelphia, Pa</v>
      </c>
    </row>
    <row r="32" spans="1:13" x14ac:dyDescent="0.35">
      <c r="A32">
        <v>2031</v>
      </c>
      <c r="B32" t="s">
        <v>181</v>
      </c>
      <c r="C32" t="s">
        <v>40</v>
      </c>
      <c r="D32" t="s">
        <v>12</v>
      </c>
      <c r="E32" t="s">
        <v>13</v>
      </c>
      <c r="F32" t="s">
        <v>174</v>
      </c>
      <c r="G32">
        <v>899</v>
      </c>
      <c r="H32">
        <v>5</v>
      </c>
      <c r="I32">
        <v>4495</v>
      </c>
      <c r="K32" t="s">
        <v>88</v>
      </c>
      <c r="L32" t="str">
        <f t="shared" si="1"/>
        <v>Mary Moore</v>
      </c>
      <c r="M32" t="str">
        <f t="shared" si="0"/>
        <v>Chicago, Il</v>
      </c>
    </row>
    <row r="33" spans="1:13" x14ac:dyDescent="0.35">
      <c r="A33">
        <v>2032</v>
      </c>
      <c r="B33" t="s">
        <v>217</v>
      </c>
      <c r="C33" t="s">
        <v>40</v>
      </c>
      <c r="D33" t="s">
        <v>16</v>
      </c>
      <c r="E33" t="s">
        <v>17</v>
      </c>
      <c r="F33" t="s">
        <v>172</v>
      </c>
      <c r="G33">
        <v>299</v>
      </c>
      <c r="H33">
        <v>3</v>
      </c>
      <c r="I33">
        <v>897</v>
      </c>
      <c r="K33" t="s">
        <v>90</v>
      </c>
      <c r="L33" t="str">
        <f t="shared" si="1"/>
        <v>John Jackson</v>
      </c>
      <c r="M33" t="str">
        <f t="shared" si="0"/>
        <v>San Antonio, Tx</v>
      </c>
    </row>
    <row r="34" spans="1:13" x14ac:dyDescent="0.35">
      <c r="A34">
        <v>2033</v>
      </c>
      <c r="B34" t="s">
        <v>101</v>
      </c>
      <c r="C34" t="s">
        <v>20</v>
      </c>
      <c r="D34" t="s">
        <v>59</v>
      </c>
      <c r="E34" t="s">
        <v>60</v>
      </c>
      <c r="F34" t="s">
        <v>174</v>
      </c>
      <c r="G34">
        <v>899</v>
      </c>
      <c r="H34">
        <v>5</v>
      </c>
      <c r="I34">
        <v>4495</v>
      </c>
      <c r="K34" t="s">
        <v>92</v>
      </c>
      <c r="L34" t="str">
        <f t="shared" si="1"/>
        <v>Linda Wilson</v>
      </c>
      <c r="M34" t="str">
        <f t="shared" si="0"/>
        <v>Phoenix, Az</v>
      </c>
    </row>
    <row r="35" spans="1:13" x14ac:dyDescent="0.35">
      <c r="A35">
        <v>2034</v>
      </c>
      <c r="B35" t="s">
        <v>191</v>
      </c>
      <c r="C35" t="s">
        <v>40</v>
      </c>
      <c r="D35" t="s">
        <v>33</v>
      </c>
      <c r="E35" t="s">
        <v>24</v>
      </c>
      <c r="F35" t="s">
        <v>171</v>
      </c>
      <c r="G35">
        <v>699</v>
      </c>
      <c r="H35">
        <v>1</v>
      </c>
      <c r="I35">
        <v>699</v>
      </c>
      <c r="K35" t="s">
        <v>93</v>
      </c>
      <c r="L35" t="str">
        <f t="shared" si="1"/>
        <v>Michael Anderson</v>
      </c>
      <c r="M35" t="str">
        <f t="shared" si="0"/>
        <v>Los Angeles, Ca</v>
      </c>
    </row>
    <row r="36" spans="1:13" x14ac:dyDescent="0.35">
      <c r="A36">
        <v>2035</v>
      </c>
      <c r="B36" t="s">
        <v>192</v>
      </c>
      <c r="C36" t="s">
        <v>40</v>
      </c>
      <c r="D36" t="s">
        <v>23</v>
      </c>
      <c r="E36" t="s">
        <v>24</v>
      </c>
      <c r="F36" t="s">
        <v>173</v>
      </c>
      <c r="G36">
        <v>89</v>
      </c>
      <c r="H36">
        <v>2</v>
      </c>
      <c r="I36">
        <v>178</v>
      </c>
      <c r="K36" t="s">
        <v>94</v>
      </c>
      <c r="L36" t="str">
        <f t="shared" si="1"/>
        <v>Elizabeth Davis</v>
      </c>
      <c r="M36" t="str">
        <f t="shared" si="0"/>
        <v>San Diego, Ca</v>
      </c>
    </row>
    <row r="37" spans="1:13" x14ac:dyDescent="0.35">
      <c r="A37">
        <v>2036</v>
      </c>
      <c r="B37" t="s">
        <v>182</v>
      </c>
      <c r="C37" t="s">
        <v>11</v>
      </c>
      <c r="D37" t="s">
        <v>12</v>
      </c>
      <c r="E37" t="s">
        <v>13</v>
      </c>
      <c r="F37" t="s">
        <v>171</v>
      </c>
      <c r="G37">
        <v>699</v>
      </c>
      <c r="H37">
        <v>5</v>
      </c>
      <c r="I37">
        <v>3495</v>
      </c>
      <c r="K37" t="s">
        <v>96</v>
      </c>
      <c r="L37" t="str">
        <f t="shared" si="1"/>
        <v>Elizabeth Jackson</v>
      </c>
      <c r="M37" t="str">
        <f t="shared" si="0"/>
        <v>Chicago, Il</v>
      </c>
    </row>
    <row r="38" spans="1:13" x14ac:dyDescent="0.35">
      <c r="A38">
        <v>2037</v>
      </c>
      <c r="B38" t="s">
        <v>193</v>
      </c>
      <c r="C38" t="s">
        <v>40</v>
      </c>
      <c r="D38" t="s">
        <v>51</v>
      </c>
      <c r="E38" t="s">
        <v>52</v>
      </c>
      <c r="F38" t="s">
        <v>173</v>
      </c>
      <c r="G38">
        <v>89</v>
      </c>
      <c r="H38">
        <v>3</v>
      </c>
      <c r="I38">
        <v>267</v>
      </c>
      <c r="K38" t="s">
        <v>97</v>
      </c>
      <c r="L38" t="str">
        <f t="shared" si="1"/>
        <v>Mary Taylor</v>
      </c>
      <c r="M38" t="str">
        <f t="shared" si="0"/>
        <v>Philadelphia, Pa</v>
      </c>
    </row>
    <row r="39" spans="1:13" x14ac:dyDescent="0.35">
      <c r="A39">
        <v>2038</v>
      </c>
      <c r="B39" t="s">
        <v>194</v>
      </c>
      <c r="C39" t="s">
        <v>40</v>
      </c>
      <c r="D39" t="s">
        <v>59</v>
      </c>
      <c r="E39" t="s">
        <v>60</v>
      </c>
      <c r="F39" t="s">
        <v>171</v>
      </c>
      <c r="G39">
        <v>699</v>
      </c>
      <c r="H39">
        <v>3</v>
      </c>
      <c r="I39">
        <v>2097</v>
      </c>
      <c r="K39" t="s">
        <v>98</v>
      </c>
      <c r="L39" t="str">
        <f t="shared" si="1"/>
        <v>Elizabeth Thomas</v>
      </c>
      <c r="M39" t="str">
        <f t="shared" si="0"/>
        <v>Phoenix, Az</v>
      </c>
    </row>
    <row r="40" spans="1:13" x14ac:dyDescent="0.35">
      <c r="A40">
        <v>2039</v>
      </c>
      <c r="B40" t="s">
        <v>109</v>
      </c>
      <c r="C40" t="s">
        <v>11</v>
      </c>
      <c r="D40" t="s">
        <v>59</v>
      </c>
      <c r="E40" t="s">
        <v>60</v>
      </c>
      <c r="F40" t="s">
        <v>174</v>
      </c>
      <c r="G40">
        <v>899</v>
      </c>
      <c r="H40">
        <v>1</v>
      </c>
      <c r="I40">
        <v>899</v>
      </c>
      <c r="K40" t="s">
        <v>99</v>
      </c>
      <c r="L40" t="str">
        <f t="shared" si="1"/>
        <v>Barbara Smith</v>
      </c>
      <c r="M40" t="str">
        <f t="shared" si="0"/>
        <v>Phoenix, Az</v>
      </c>
    </row>
    <row r="41" spans="1:13" x14ac:dyDescent="0.35">
      <c r="A41">
        <v>2040</v>
      </c>
      <c r="B41" t="s">
        <v>204</v>
      </c>
      <c r="C41" t="s">
        <v>40</v>
      </c>
      <c r="D41" t="s">
        <v>27</v>
      </c>
      <c r="E41" t="s">
        <v>17</v>
      </c>
      <c r="F41" t="s">
        <v>173</v>
      </c>
      <c r="G41">
        <v>89</v>
      </c>
      <c r="H41">
        <v>3</v>
      </c>
      <c r="I41">
        <v>267</v>
      </c>
      <c r="K41" t="s">
        <v>100</v>
      </c>
      <c r="L41" t="str">
        <f t="shared" si="1"/>
        <v>Robert Brown</v>
      </c>
      <c r="M41" t="str">
        <f t="shared" si="0"/>
        <v>Houston, Tx</v>
      </c>
    </row>
    <row r="42" spans="1:13" x14ac:dyDescent="0.35">
      <c r="A42">
        <v>2041</v>
      </c>
      <c r="B42" t="s">
        <v>195</v>
      </c>
      <c r="C42" t="s">
        <v>20</v>
      </c>
      <c r="D42" t="s">
        <v>27</v>
      </c>
      <c r="E42" t="s">
        <v>17</v>
      </c>
      <c r="F42" t="s">
        <v>173</v>
      </c>
      <c r="G42">
        <v>89</v>
      </c>
      <c r="H42">
        <v>2</v>
      </c>
      <c r="I42">
        <v>178</v>
      </c>
      <c r="K42" t="s">
        <v>102</v>
      </c>
      <c r="L42" t="str">
        <f t="shared" si="1"/>
        <v>James Wilson</v>
      </c>
      <c r="M42" t="str">
        <f t="shared" si="0"/>
        <v>Houston, Tx</v>
      </c>
    </row>
    <row r="43" spans="1:13" x14ac:dyDescent="0.35">
      <c r="A43">
        <v>2042</v>
      </c>
      <c r="B43" t="s">
        <v>209</v>
      </c>
      <c r="C43" t="s">
        <v>11</v>
      </c>
      <c r="D43" t="s">
        <v>33</v>
      </c>
      <c r="E43" t="s">
        <v>24</v>
      </c>
      <c r="F43" t="s">
        <v>173</v>
      </c>
      <c r="G43">
        <v>89</v>
      </c>
      <c r="H43">
        <v>1</v>
      </c>
      <c r="I43">
        <v>89</v>
      </c>
      <c r="K43" t="s">
        <v>103</v>
      </c>
      <c r="L43" t="str">
        <f t="shared" si="1"/>
        <v>John Wilson</v>
      </c>
      <c r="M43" t="str">
        <f t="shared" si="0"/>
        <v>Los Angeles, Ca</v>
      </c>
    </row>
    <row r="44" spans="1:13" x14ac:dyDescent="0.35">
      <c r="A44">
        <v>2043</v>
      </c>
      <c r="B44" t="s">
        <v>210</v>
      </c>
      <c r="C44" t="s">
        <v>40</v>
      </c>
      <c r="D44" t="s">
        <v>12</v>
      </c>
      <c r="E44" t="s">
        <v>13</v>
      </c>
      <c r="F44" t="s">
        <v>174</v>
      </c>
      <c r="G44">
        <v>899</v>
      </c>
      <c r="H44">
        <v>5</v>
      </c>
      <c r="I44">
        <v>4495</v>
      </c>
      <c r="K44" t="s">
        <v>104</v>
      </c>
      <c r="L44" t="str">
        <f t="shared" si="1"/>
        <v>William Wilson</v>
      </c>
      <c r="M44" t="str">
        <f t="shared" si="0"/>
        <v>Chicago, Il</v>
      </c>
    </row>
    <row r="45" spans="1:13" x14ac:dyDescent="0.35">
      <c r="A45">
        <v>2044</v>
      </c>
      <c r="B45" t="s">
        <v>211</v>
      </c>
      <c r="C45" t="s">
        <v>11</v>
      </c>
      <c r="D45" t="s">
        <v>16</v>
      </c>
      <c r="E45" t="s">
        <v>17</v>
      </c>
      <c r="F45" t="s">
        <v>170</v>
      </c>
      <c r="G45">
        <v>499</v>
      </c>
      <c r="H45">
        <v>4</v>
      </c>
      <c r="I45">
        <v>1996</v>
      </c>
      <c r="K45" t="s">
        <v>105</v>
      </c>
      <c r="L45" t="str">
        <f t="shared" si="1"/>
        <v>Patricia Wilson</v>
      </c>
      <c r="M45" t="str">
        <f t="shared" si="0"/>
        <v>San Antonio, Tx</v>
      </c>
    </row>
    <row r="46" spans="1:13" x14ac:dyDescent="0.35">
      <c r="A46">
        <v>2045</v>
      </c>
      <c r="B46" t="s">
        <v>118</v>
      </c>
      <c r="C46" t="s">
        <v>20</v>
      </c>
      <c r="D46" t="s">
        <v>59</v>
      </c>
      <c r="E46" t="s">
        <v>60</v>
      </c>
      <c r="F46" t="s">
        <v>173</v>
      </c>
      <c r="G46">
        <v>89</v>
      </c>
      <c r="H46">
        <v>3</v>
      </c>
      <c r="I46">
        <v>267</v>
      </c>
      <c r="K46" t="s">
        <v>106</v>
      </c>
      <c r="L46" t="str">
        <f t="shared" si="1"/>
        <v>Linda Johnson</v>
      </c>
      <c r="M46" t="str">
        <f t="shared" si="0"/>
        <v>Phoenix, Az</v>
      </c>
    </row>
    <row r="47" spans="1:13" x14ac:dyDescent="0.35">
      <c r="A47">
        <v>2011</v>
      </c>
      <c r="B47" t="s">
        <v>196</v>
      </c>
      <c r="C47" t="s">
        <v>40</v>
      </c>
      <c r="D47" t="s">
        <v>27</v>
      </c>
      <c r="E47" t="s">
        <v>17</v>
      </c>
      <c r="F47" t="s">
        <v>174</v>
      </c>
      <c r="G47">
        <v>899</v>
      </c>
      <c r="H47">
        <v>5</v>
      </c>
      <c r="I47">
        <v>4495</v>
      </c>
      <c r="K47" t="s">
        <v>44</v>
      </c>
      <c r="L47" t="str">
        <f t="shared" si="1"/>
        <v>Linda Brown</v>
      </c>
      <c r="M47" t="str">
        <f t="shared" si="0"/>
        <v>Houston, Tx</v>
      </c>
    </row>
    <row r="48" spans="1:13" x14ac:dyDescent="0.35">
      <c r="A48">
        <v>2047</v>
      </c>
      <c r="B48" t="s">
        <v>205</v>
      </c>
      <c r="C48" t="s">
        <v>40</v>
      </c>
      <c r="D48" t="s">
        <v>59</v>
      </c>
      <c r="E48" t="s">
        <v>60</v>
      </c>
      <c r="F48" t="s">
        <v>170</v>
      </c>
      <c r="G48">
        <v>499</v>
      </c>
      <c r="H48">
        <v>4</v>
      </c>
      <c r="I48">
        <v>1996</v>
      </c>
      <c r="K48" t="s">
        <v>107</v>
      </c>
      <c r="L48" t="str">
        <f t="shared" si="1"/>
        <v>Robert Moore</v>
      </c>
      <c r="M48" t="str">
        <f t="shared" si="0"/>
        <v>Phoenix, Az</v>
      </c>
    </row>
    <row r="49" spans="1:13" x14ac:dyDescent="0.35">
      <c r="A49">
        <v>2048</v>
      </c>
      <c r="B49" t="s">
        <v>197</v>
      </c>
      <c r="C49" t="s">
        <v>32</v>
      </c>
      <c r="D49" t="s">
        <v>51</v>
      </c>
      <c r="E49" t="s">
        <v>52</v>
      </c>
      <c r="F49" t="s">
        <v>173</v>
      </c>
      <c r="G49">
        <v>89</v>
      </c>
      <c r="H49">
        <v>1</v>
      </c>
      <c r="I49">
        <v>89</v>
      </c>
      <c r="K49" t="s">
        <v>108</v>
      </c>
      <c r="L49" t="str">
        <f t="shared" si="1"/>
        <v>James Smith</v>
      </c>
      <c r="M49" t="str">
        <f t="shared" si="0"/>
        <v>Philadelphia, Pa</v>
      </c>
    </row>
    <row r="50" spans="1:13" x14ac:dyDescent="0.35">
      <c r="A50">
        <v>2049</v>
      </c>
      <c r="B50" t="s">
        <v>212</v>
      </c>
      <c r="C50" t="s">
        <v>40</v>
      </c>
      <c r="D50" t="s">
        <v>23</v>
      </c>
      <c r="E50" t="s">
        <v>24</v>
      </c>
      <c r="F50" t="s">
        <v>172</v>
      </c>
      <c r="G50">
        <v>299</v>
      </c>
      <c r="H50">
        <v>4</v>
      </c>
      <c r="I50">
        <v>1196</v>
      </c>
      <c r="K50" t="s">
        <v>111</v>
      </c>
      <c r="L50" t="str">
        <f t="shared" si="1"/>
        <v>John Moore</v>
      </c>
      <c r="M50" t="str">
        <f t="shared" si="0"/>
        <v>San Diego, Ca</v>
      </c>
    </row>
    <row r="51" spans="1:13" x14ac:dyDescent="0.35">
      <c r="A51">
        <v>2050</v>
      </c>
      <c r="B51" t="s">
        <v>198</v>
      </c>
      <c r="C51" t="s">
        <v>32</v>
      </c>
      <c r="D51" t="s">
        <v>27</v>
      </c>
      <c r="E51" t="s">
        <v>17</v>
      </c>
      <c r="F51" t="s">
        <v>173</v>
      </c>
      <c r="G51">
        <v>89</v>
      </c>
      <c r="H51">
        <v>4</v>
      </c>
      <c r="I51">
        <v>356</v>
      </c>
      <c r="K51" t="s">
        <v>112</v>
      </c>
      <c r="L51" t="str">
        <f t="shared" si="1"/>
        <v>James Anderson</v>
      </c>
      <c r="M51" t="str">
        <f t="shared" si="0"/>
        <v>Houston, Tx</v>
      </c>
    </row>
    <row r="52" spans="1:13" x14ac:dyDescent="0.35">
      <c r="A52">
        <v>2051</v>
      </c>
      <c r="B52" t="s">
        <v>213</v>
      </c>
      <c r="C52" t="s">
        <v>40</v>
      </c>
      <c r="D52" t="s">
        <v>23</v>
      </c>
      <c r="E52" t="s">
        <v>24</v>
      </c>
      <c r="F52" t="s">
        <v>172</v>
      </c>
      <c r="G52">
        <v>299</v>
      </c>
      <c r="H52">
        <v>2</v>
      </c>
      <c r="I52">
        <v>598</v>
      </c>
      <c r="K52" t="s">
        <v>113</v>
      </c>
      <c r="L52" t="str">
        <f t="shared" si="1"/>
        <v>Patricia Thomas</v>
      </c>
      <c r="M52" t="str">
        <f t="shared" si="0"/>
        <v>San Diego, Ca</v>
      </c>
    </row>
    <row r="53" spans="1:13" x14ac:dyDescent="0.35">
      <c r="A53">
        <v>2052</v>
      </c>
      <c r="B53" t="s">
        <v>199</v>
      </c>
      <c r="C53" t="s">
        <v>11</v>
      </c>
      <c r="D53" t="s">
        <v>33</v>
      </c>
      <c r="E53" t="s">
        <v>24</v>
      </c>
      <c r="F53" t="s">
        <v>173</v>
      </c>
      <c r="G53">
        <v>89</v>
      </c>
      <c r="H53">
        <v>5</v>
      </c>
      <c r="I53">
        <v>445</v>
      </c>
      <c r="K53" t="s">
        <v>114</v>
      </c>
      <c r="L53" t="str">
        <f t="shared" si="1"/>
        <v>Barbara Brown</v>
      </c>
      <c r="M53" t="str">
        <f t="shared" si="0"/>
        <v>Los Angeles, Ca</v>
      </c>
    </row>
    <row r="54" spans="1:13" x14ac:dyDescent="0.35">
      <c r="A54">
        <v>2053</v>
      </c>
      <c r="B54" t="s">
        <v>133</v>
      </c>
      <c r="C54" t="s">
        <v>40</v>
      </c>
      <c r="D54" t="s">
        <v>12</v>
      </c>
      <c r="E54" t="s">
        <v>13</v>
      </c>
      <c r="F54" t="s">
        <v>171</v>
      </c>
      <c r="G54">
        <v>699</v>
      </c>
      <c r="H54">
        <v>2</v>
      </c>
      <c r="I54">
        <v>1398</v>
      </c>
      <c r="K54" t="s">
        <v>115</v>
      </c>
      <c r="L54" t="str">
        <f t="shared" si="1"/>
        <v>Linda Smith</v>
      </c>
      <c r="M54" t="str">
        <f t="shared" si="0"/>
        <v>Chicago, Il</v>
      </c>
    </row>
    <row r="55" spans="1:13" x14ac:dyDescent="0.35">
      <c r="A55">
        <v>2054</v>
      </c>
      <c r="B55" t="s">
        <v>206</v>
      </c>
      <c r="C55" t="s">
        <v>11</v>
      </c>
      <c r="D55" t="s">
        <v>23</v>
      </c>
      <c r="E55" t="s">
        <v>24</v>
      </c>
      <c r="F55" t="s">
        <v>174</v>
      </c>
      <c r="G55">
        <v>899</v>
      </c>
      <c r="H55">
        <v>4</v>
      </c>
      <c r="I55">
        <v>3596</v>
      </c>
      <c r="K55" t="s">
        <v>116</v>
      </c>
      <c r="L55" t="str">
        <f t="shared" si="1"/>
        <v>John Davis</v>
      </c>
      <c r="M55" t="str">
        <f t="shared" si="0"/>
        <v>San Diego, Ca</v>
      </c>
    </row>
    <row r="56" spans="1:13" x14ac:dyDescent="0.35">
      <c r="A56">
        <v>2055</v>
      </c>
      <c r="B56" t="s">
        <v>207</v>
      </c>
      <c r="C56" t="s">
        <v>32</v>
      </c>
      <c r="D56" t="s">
        <v>16</v>
      </c>
      <c r="E56" t="s">
        <v>17</v>
      </c>
      <c r="F56" t="s">
        <v>171</v>
      </c>
      <c r="G56">
        <v>699</v>
      </c>
      <c r="H56">
        <v>5</v>
      </c>
      <c r="I56">
        <v>3495</v>
      </c>
      <c r="K56" t="s">
        <v>117</v>
      </c>
      <c r="L56" t="str">
        <f t="shared" si="1"/>
        <v>John Anderson</v>
      </c>
      <c r="M56" t="str">
        <f t="shared" si="0"/>
        <v>San Antonio, Tx</v>
      </c>
    </row>
    <row r="57" spans="1:13" x14ac:dyDescent="0.35">
      <c r="A57">
        <v>2056</v>
      </c>
      <c r="B57" t="s">
        <v>200</v>
      </c>
      <c r="C57" t="s">
        <v>32</v>
      </c>
      <c r="D57" t="s">
        <v>51</v>
      </c>
      <c r="E57" t="s">
        <v>52</v>
      </c>
      <c r="F57" t="s">
        <v>173</v>
      </c>
      <c r="G57">
        <v>89</v>
      </c>
      <c r="H57">
        <v>3</v>
      </c>
      <c r="I57">
        <v>267</v>
      </c>
      <c r="K57" t="s">
        <v>119</v>
      </c>
      <c r="L57" t="str">
        <f t="shared" si="1"/>
        <v>Elizabeth Taylor</v>
      </c>
      <c r="M57" t="str">
        <f t="shared" si="0"/>
        <v>Philadelphia, Pa</v>
      </c>
    </row>
    <row r="58" spans="1:13" x14ac:dyDescent="0.35">
      <c r="A58">
        <v>2057</v>
      </c>
      <c r="B58" t="s">
        <v>140</v>
      </c>
      <c r="C58" t="s">
        <v>11</v>
      </c>
      <c r="D58" t="s">
        <v>51</v>
      </c>
      <c r="E58" t="s">
        <v>52</v>
      </c>
      <c r="F58" t="s">
        <v>173</v>
      </c>
      <c r="G58">
        <v>89</v>
      </c>
      <c r="H58">
        <v>3</v>
      </c>
      <c r="I58">
        <v>267</v>
      </c>
      <c r="K58" t="s">
        <v>120</v>
      </c>
      <c r="L58" t="str">
        <f t="shared" si="1"/>
        <v>Linda Taylor</v>
      </c>
      <c r="M58" t="str">
        <f t="shared" si="0"/>
        <v>Philadelphia, Pa</v>
      </c>
    </row>
    <row r="59" spans="1:13" x14ac:dyDescent="0.35">
      <c r="A59">
        <v>2058</v>
      </c>
      <c r="B59" t="s">
        <v>144</v>
      </c>
      <c r="C59" t="s">
        <v>20</v>
      </c>
      <c r="D59" t="s">
        <v>27</v>
      </c>
      <c r="E59" t="s">
        <v>17</v>
      </c>
      <c r="F59" t="s">
        <v>170</v>
      </c>
      <c r="G59">
        <v>499</v>
      </c>
      <c r="H59">
        <v>3</v>
      </c>
      <c r="I59">
        <v>1497</v>
      </c>
      <c r="K59" t="s">
        <v>121</v>
      </c>
      <c r="L59" t="str">
        <f t="shared" si="1"/>
        <v>Barbara Wilson</v>
      </c>
      <c r="M59" t="str">
        <f t="shared" si="0"/>
        <v>Houston, Tx</v>
      </c>
    </row>
    <row r="60" spans="1:13" x14ac:dyDescent="0.35">
      <c r="A60">
        <v>2059</v>
      </c>
      <c r="B60" t="s">
        <v>225</v>
      </c>
      <c r="C60" t="s">
        <v>11</v>
      </c>
      <c r="D60" t="s">
        <v>23</v>
      </c>
      <c r="E60" t="s">
        <v>24</v>
      </c>
      <c r="F60" t="s">
        <v>170</v>
      </c>
      <c r="G60">
        <v>499</v>
      </c>
      <c r="H60">
        <v>1</v>
      </c>
      <c r="I60">
        <v>499</v>
      </c>
      <c r="K60" t="s">
        <v>122</v>
      </c>
      <c r="L60" t="str">
        <f t="shared" si="1"/>
        <v>William Thomas</v>
      </c>
      <c r="M60" t="str">
        <f t="shared" si="0"/>
        <v>San Diego, Ca</v>
      </c>
    </row>
    <row r="61" spans="1:13" x14ac:dyDescent="0.35">
      <c r="A61">
        <v>2060</v>
      </c>
      <c r="B61" t="s">
        <v>201</v>
      </c>
      <c r="C61" t="s">
        <v>32</v>
      </c>
      <c r="D61" t="s">
        <v>33</v>
      </c>
      <c r="E61" t="s">
        <v>24</v>
      </c>
      <c r="F61" t="s">
        <v>171</v>
      </c>
      <c r="G61">
        <v>699</v>
      </c>
      <c r="H61">
        <v>2</v>
      </c>
      <c r="I61">
        <v>1398</v>
      </c>
      <c r="K61" t="s">
        <v>123</v>
      </c>
      <c r="L61" t="str">
        <f t="shared" si="1"/>
        <v>Mary Smith</v>
      </c>
      <c r="M61" t="str">
        <f t="shared" si="0"/>
        <v>Los Angeles, Ca</v>
      </c>
    </row>
    <row r="62" spans="1:13" x14ac:dyDescent="0.35">
      <c r="A62">
        <v>2061</v>
      </c>
      <c r="B62" t="s">
        <v>224</v>
      </c>
      <c r="C62" t="s">
        <v>32</v>
      </c>
      <c r="D62" t="s">
        <v>59</v>
      </c>
      <c r="E62" t="s">
        <v>60</v>
      </c>
      <c r="F62" t="s">
        <v>173</v>
      </c>
      <c r="G62">
        <v>89</v>
      </c>
      <c r="H62">
        <v>2</v>
      </c>
      <c r="I62">
        <v>178</v>
      </c>
      <c r="K62" t="s">
        <v>124</v>
      </c>
      <c r="L62" t="str">
        <f t="shared" si="1"/>
        <v>John Brown</v>
      </c>
      <c r="M62" t="str">
        <f t="shared" si="0"/>
        <v>Phoenix, Az</v>
      </c>
    </row>
    <row r="63" spans="1:13" x14ac:dyDescent="0.35">
      <c r="A63">
        <v>2062</v>
      </c>
      <c r="B63" t="s">
        <v>202</v>
      </c>
      <c r="C63" t="s">
        <v>40</v>
      </c>
      <c r="D63" t="s">
        <v>27</v>
      </c>
      <c r="E63" t="s">
        <v>17</v>
      </c>
      <c r="F63" t="s">
        <v>172</v>
      </c>
      <c r="G63">
        <v>299</v>
      </c>
      <c r="H63">
        <v>5</v>
      </c>
      <c r="I63">
        <v>1495</v>
      </c>
      <c r="K63" t="s">
        <v>125</v>
      </c>
      <c r="L63" t="str">
        <f t="shared" si="1"/>
        <v>James Davis</v>
      </c>
      <c r="M63" t="str">
        <f t="shared" si="0"/>
        <v>Houston, Tx</v>
      </c>
    </row>
    <row r="64" spans="1:13" x14ac:dyDescent="0.35">
      <c r="A64">
        <v>2063</v>
      </c>
      <c r="B64" t="s">
        <v>158</v>
      </c>
      <c r="C64" t="s">
        <v>40</v>
      </c>
      <c r="D64" t="s">
        <v>51</v>
      </c>
      <c r="E64" t="s">
        <v>52</v>
      </c>
      <c r="F64" t="s">
        <v>171</v>
      </c>
      <c r="G64">
        <v>699</v>
      </c>
      <c r="H64">
        <v>5</v>
      </c>
      <c r="I64">
        <v>3495</v>
      </c>
      <c r="K64" t="s">
        <v>126</v>
      </c>
      <c r="L64" t="str">
        <f t="shared" si="1"/>
        <v>Linda Thomas</v>
      </c>
      <c r="M64" t="str">
        <f t="shared" si="0"/>
        <v>Philadelphia, Pa</v>
      </c>
    </row>
    <row r="65" spans="1:13" x14ac:dyDescent="0.35">
      <c r="A65">
        <v>2064</v>
      </c>
      <c r="B65" t="s">
        <v>203</v>
      </c>
      <c r="C65" t="s">
        <v>40</v>
      </c>
      <c r="D65" t="s">
        <v>27</v>
      </c>
      <c r="E65" t="s">
        <v>17</v>
      </c>
      <c r="F65" t="s">
        <v>170</v>
      </c>
      <c r="G65">
        <v>499</v>
      </c>
      <c r="H65">
        <v>5</v>
      </c>
      <c r="I65">
        <v>2495</v>
      </c>
      <c r="K65" t="s">
        <v>127</v>
      </c>
      <c r="L65" t="str">
        <f t="shared" si="1"/>
        <v>Mary Thomas</v>
      </c>
      <c r="M65" t="str">
        <f t="shared" si="0"/>
        <v>Houston, Tx</v>
      </c>
    </row>
    <row r="66" spans="1:13" x14ac:dyDescent="0.35">
      <c r="A66">
        <v>2065</v>
      </c>
      <c r="B66" t="s">
        <v>208</v>
      </c>
      <c r="C66" t="s">
        <v>20</v>
      </c>
      <c r="D66" t="s">
        <v>33</v>
      </c>
      <c r="E66" t="s">
        <v>24</v>
      </c>
      <c r="F66" t="s">
        <v>171</v>
      </c>
      <c r="G66">
        <v>699</v>
      </c>
      <c r="H66">
        <v>5</v>
      </c>
      <c r="I66">
        <v>3495</v>
      </c>
      <c r="K66" t="s">
        <v>128</v>
      </c>
      <c r="L66" t="str">
        <f t="shared" si="1"/>
        <v>William Jackson</v>
      </c>
      <c r="M66" t="str">
        <f t="shared" ref="M66:M70" si="2">CLEAN(PROPER(_xlfn.CONCAT(D66,","," ",E66)))</f>
        <v>Los Angeles, Ca</v>
      </c>
    </row>
    <row r="67" spans="1:13" x14ac:dyDescent="0.35">
      <c r="A67">
        <v>2066</v>
      </c>
      <c r="C67" t="s">
        <v>11</v>
      </c>
      <c r="D67" t="s">
        <v>59</v>
      </c>
      <c r="E67" t="s">
        <v>60</v>
      </c>
      <c r="F67" t="s">
        <v>172</v>
      </c>
      <c r="G67">
        <v>299</v>
      </c>
      <c r="H67">
        <v>5</v>
      </c>
      <c r="I67">
        <v>1495</v>
      </c>
      <c r="K67" t="s">
        <v>129</v>
      </c>
      <c r="L67" t="str">
        <f t="shared" ref="L67:L101" si="3">PROPER(B67)</f>
        <v/>
      </c>
      <c r="M67" t="str">
        <f t="shared" si="2"/>
        <v>Phoenix, Az</v>
      </c>
    </row>
    <row r="68" spans="1:13" x14ac:dyDescent="0.35">
      <c r="A68">
        <v>2067</v>
      </c>
      <c r="C68" t="s">
        <v>20</v>
      </c>
      <c r="D68" t="s">
        <v>12</v>
      </c>
      <c r="E68" t="s">
        <v>13</v>
      </c>
      <c r="F68" t="s">
        <v>172</v>
      </c>
      <c r="G68">
        <v>299</v>
      </c>
      <c r="H68">
        <v>1</v>
      </c>
      <c r="I68">
        <v>299</v>
      </c>
      <c r="K68" t="s">
        <v>130</v>
      </c>
      <c r="L68" t="str">
        <f t="shared" si="3"/>
        <v/>
      </c>
      <c r="M68" t="str">
        <f t="shared" si="2"/>
        <v>Chicago, Il</v>
      </c>
    </row>
    <row r="69" spans="1:13" x14ac:dyDescent="0.35">
      <c r="A69">
        <v>2068</v>
      </c>
      <c r="C69" t="s">
        <v>32</v>
      </c>
      <c r="D69" t="s">
        <v>23</v>
      </c>
      <c r="E69" t="s">
        <v>24</v>
      </c>
      <c r="F69" t="s">
        <v>173</v>
      </c>
      <c r="G69">
        <v>89</v>
      </c>
      <c r="H69">
        <v>2</v>
      </c>
      <c r="I69">
        <v>178</v>
      </c>
      <c r="K69" t="s">
        <v>131</v>
      </c>
      <c r="L69" t="str">
        <f t="shared" si="3"/>
        <v/>
      </c>
      <c r="M69" t="str">
        <f t="shared" si="2"/>
        <v>San Diego, Ca</v>
      </c>
    </row>
    <row r="70" spans="1:13" x14ac:dyDescent="0.35">
      <c r="A70">
        <v>2069</v>
      </c>
      <c r="C70" t="s">
        <v>20</v>
      </c>
      <c r="D70" t="s">
        <v>51</v>
      </c>
      <c r="E70" t="s">
        <v>52</v>
      </c>
      <c r="F70" t="s">
        <v>171</v>
      </c>
      <c r="G70">
        <v>699</v>
      </c>
      <c r="H70">
        <v>1</v>
      </c>
      <c r="I70">
        <v>699</v>
      </c>
      <c r="K70" t="s">
        <v>132</v>
      </c>
      <c r="L70" t="str">
        <f t="shared" si="3"/>
        <v/>
      </c>
      <c r="M70" t="str">
        <f t="shared" si="2"/>
        <v>Philadelphia, Pa</v>
      </c>
    </row>
    <row r="71" spans="1:13" x14ac:dyDescent="0.35">
      <c r="A71">
        <v>2070</v>
      </c>
      <c r="C71" t="s">
        <v>32</v>
      </c>
      <c r="D71" t="s">
        <v>55</v>
      </c>
      <c r="E71" t="s">
        <v>56</v>
      </c>
      <c r="F71" t="s">
        <v>173</v>
      </c>
      <c r="G71">
        <v>89</v>
      </c>
      <c r="H71">
        <v>4</v>
      </c>
      <c r="I71">
        <v>356</v>
      </c>
      <c r="K71" t="s">
        <v>134</v>
      </c>
      <c r="L71" t="str">
        <f t="shared" si="3"/>
        <v/>
      </c>
      <c r="M71" t="str">
        <f t="shared" ref="M71:M100" si="4">CLEAN(PROPER(_xlfn.CONCAT(D71,","," ",E71)))</f>
        <v>New York, Ny</v>
      </c>
    </row>
    <row r="72" spans="1:13" x14ac:dyDescent="0.35">
      <c r="A72">
        <v>2071</v>
      </c>
      <c r="C72" t="s">
        <v>20</v>
      </c>
      <c r="D72" t="s">
        <v>55</v>
      </c>
      <c r="E72" t="s">
        <v>56</v>
      </c>
      <c r="F72" t="s">
        <v>171</v>
      </c>
      <c r="G72">
        <v>699</v>
      </c>
      <c r="H72">
        <v>3</v>
      </c>
      <c r="I72">
        <v>2097</v>
      </c>
      <c r="K72" t="s">
        <v>135</v>
      </c>
      <c r="L72" t="str">
        <f t="shared" si="3"/>
        <v/>
      </c>
      <c r="M72" t="str">
        <f t="shared" si="4"/>
        <v>New York, Ny</v>
      </c>
    </row>
    <row r="73" spans="1:13" x14ac:dyDescent="0.35">
      <c r="A73">
        <v>2072</v>
      </c>
      <c r="C73" t="s">
        <v>11</v>
      </c>
      <c r="D73" t="s">
        <v>33</v>
      </c>
      <c r="E73" t="s">
        <v>24</v>
      </c>
      <c r="F73" t="s">
        <v>171</v>
      </c>
      <c r="G73">
        <v>699</v>
      </c>
      <c r="H73">
        <v>2</v>
      </c>
      <c r="I73">
        <v>1398</v>
      </c>
      <c r="K73" t="s">
        <v>136</v>
      </c>
      <c r="L73" t="str">
        <f t="shared" si="3"/>
        <v/>
      </c>
      <c r="M73" t="str">
        <f t="shared" si="4"/>
        <v>Los Angeles, Ca</v>
      </c>
    </row>
    <row r="74" spans="1:13" x14ac:dyDescent="0.35">
      <c r="A74">
        <v>2073</v>
      </c>
      <c r="C74" t="s">
        <v>11</v>
      </c>
      <c r="D74" t="s">
        <v>16</v>
      </c>
      <c r="E74" t="s">
        <v>17</v>
      </c>
      <c r="F74" t="s">
        <v>172</v>
      </c>
      <c r="G74">
        <v>299</v>
      </c>
      <c r="H74">
        <v>5</v>
      </c>
      <c r="I74">
        <v>1495</v>
      </c>
      <c r="K74" t="s">
        <v>137</v>
      </c>
      <c r="L74" t="str">
        <f t="shared" si="3"/>
        <v/>
      </c>
      <c r="M74" t="str">
        <f t="shared" si="4"/>
        <v>San Antonio, Tx</v>
      </c>
    </row>
    <row r="75" spans="1:13" x14ac:dyDescent="0.35">
      <c r="A75">
        <v>2074</v>
      </c>
      <c r="C75" t="s">
        <v>20</v>
      </c>
      <c r="D75" t="s">
        <v>27</v>
      </c>
      <c r="E75" t="s">
        <v>17</v>
      </c>
      <c r="F75" t="s">
        <v>174</v>
      </c>
      <c r="G75">
        <v>899</v>
      </c>
      <c r="H75">
        <v>2</v>
      </c>
      <c r="I75">
        <v>1798</v>
      </c>
      <c r="K75" t="s">
        <v>138</v>
      </c>
      <c r="L75" t="str">
        <f t="shared" si="3"/>
        <v/>
      </c>
      <c r="M75" t="str">
        <f t="shared" si="4"/>
        <v>Houston, Tx</v>
      </c>
    </row>
    <row r="76" spans="1:13" x14ac:dyDescent="0.35">
      <c r="A76">
        <v>2075</v>
      </c>
      <c r="C76" t="s">
        <v>20</v>
      </c>
      <c r="D76" t="s">
        <v>55</v>
      </c>
      <c r="E76" t="s">
        <v>56</v>
      </c>
      <c r="F76" t="s">
        <v>174</v>
      </c>
      <c r="G76">
        <v>899</v>
      </c>
      <c r="H76">
        <v>5</v>
      </c>
      <c r="I76">
        <v>4495</v>
      </c>
      <c r="K76" t="s">
        <v>139</v>
      </c>
      <c r="L76" t="str">
        <f t="shared" si="3"/>
        <v/>
      </c>
      <c r="M76" t="str">
        <f t="shared" si="4"/>
        <v>New York, Ny</v>
      </c>
    </row>
    <row r="77" spans="1:13" x14ac:dyDescent="0.35">
      <c r="A77">
        <v>2076</v>
      </c>
      <c r="C77" t="s">
        <v>40</v>
      </c>
      <c r="D77" t="s">
        <v>27</v>
      </c>
      <c r="E77" t="s">
        <v>17</v>
      </c>
      <c r="F77" t="s">
        <v>170</v>
      </c>
      <c r="G77">
        <v>499</v>
      </c>
      <c r="H77">
        <v>3</v>
      </c>
      <c r="I77">
        <v>1497</v>
      </c>
      <c r="K77" t="s">
        <v>141</v>
      </c>
      <c r="L77" t="str">
        <f t="shared" si="3"/>
        <v/>
      </c>
      <c r="M77" t="str">
        <f t="shared" si="4"/>
        <v>Houston, Tx</v>
      </c>
    </row>
    <row r="78" spans="1:13" x14ac:dyDescent="0.35">
      <c r="A78">
        <v>2077</v>
      </c>
      <c r="C78" t="s">
        <v>11</v>
      </c>
      <c r="D78" t="s">
        <v>23</v>
      </c>
      <c r="E78" t="s">
        <v>24</v>
      </c>
      <c r="F78" t="s">
        <v>173</v>
      </c>
      <c r="G78">
        <v>89</v>
      </c>
      <c r="H78">
        <v>5</v>
      </c>
      <c r="I78">
        <v>445</v>
      </c>
      <c r="K78" t="s">
        <v>142</v>
      </c>
      <c r="L78" t="str">
        <f t="shared" si="3"/>
        <v/>
      </c>
      <c r="M78" t="str">
        <f t="shared" si="4"/>
        <v>San Diego, Ca</v>
      </c>
    </row>
    <row r="79" spans="1:13" x14ac:dyDescent="0.35">
      <c r="A79">
        <v>2078</v>
      </c>
      <c r="C79" t="s">
        <v>32</v>
      </c>
      <c r="D79" t="s">
        <v>23</v>
      </c>
      <c r="E79" t="s">
        <v>24</v>
      </c>
      <c r="F79" t="s">
        <v>172</v>
      </c>
      <c r="G79">
        <v>299</v>
      </c>
      <c r="H79">
        <v>5</v>
      </c>
      <c r="I79">
        <v>1495</v>
      </c>
      <c r="K79" t="s">
        <v>143</v>
      </c>
      <c r="L79" t="str">
        <f t="shared" si="3"/>
        <v/>
      </c>
      <c r="M79" t="str">
        <f t="shared" si="4"/>
        <v>San Diego, Ca</v>
      </c>
    </row>
    <row r="80" spans="1:13" x14ac:dyDescent="0.35">
      <c r="A80">
        <v>2079</v>
      </c>
      <c r="C80" t="s">
        <v>20</v>
      </c>
      <c r="D80" t="s">
        <v>16</v>
      </c>
      <c r="E80" t="s">
        <v>17</v>
      </c>
      <c r="F80" t="s">
        <v>172</v>
      </c>
      <c r="G80">
        <v>299</v>
      </c>
      <c r="H80">
        <v>2</v>
      </c>
      <c r="I80">
        <v>598</v>
      </c>
      <c r="K80" t="s">
        <v>145</v>
      </c>
      <c r="L80" t="str">
        <f t="shared" si="3"/>
        <v/>
      </c>
      <c r="M80" t="str">
        <f t="shared" si="4"/>
        <v>San Antonio, Tx</v>
      </c>
    </row>
    <row r="81" spans="1:13" x14ac:dyDescent="0.35">
      <c r="A81">
        <v>2080</v>
      </c>
      <c r="C81" t="s">
        <v>32</v>
      </c>
      <c r="D81" t="s">
        <v>12</v>
      </c>
      <c r="E81" t="s">
        <v>13</v>
      </c>
      <c r="F81" t="s">
        <v>174</v>
      </c>
      <c r="G81">
        <v>899</v>
      </c>
      <c r="H81">
        <v>4</v>
      </c>
      <c r="I81">
        <v>3596</v>
      </c>
      <c r="K81" t="s">
        <v>146</v>
      </c>
      <c r="L81" t="str">
        <f t="shared" si="3"/>
        <v/>
      </c>
      <c r="M81" t="str">
        <f t="shared" si="4"/>
        <v>Chicago, Il</v>
      </c>
    </row>
    <row r="82" spans="1:13" x14ac:dyDescent="0.35">
      <c r="A82">
        <v>2081</v>
      </c>
      <c r="C82" t="s">
        <v>11</v>
      </c>
      <c r="D82" t="s">
        <v>16</v>
      </c>
      <c r="E82" t="s">
        <v>17</v>
      </c>
      <c r="F82" t="s">
        <v>170</v>
      </c>
      <c r="G82">
        <v>499</v>
      </c>
      <c r="H82">
        <v>1</v>
      </c>
      <c r="I82">
        <v>499</v>
      </c>
      <c r="K82" t="s">
        <v>147</v>
      </c>
      <c r="L82" t="str">
        <f t="shared" si="3"/>
        <v/>
      </c>
      <c r="M82" t="str">
        <f t="shared" si="4"/>
        <v>San Antonio, Tx</v>
      </c>
    </row>
    <row r="83" spans="1:13" x14ac:dyDescent="0.35">
      <c r="A83">
        <v>2082</v>
      </c>
      <c r="C83" t="s">
        <v>20</v>
      </c>
      <c r="D83" t="s">
        <v>16</v>
      </c>
      <c r="E83" t="s">
        <v>17</v>
      </c>
      <c r="F83" t="s">
        <v>173</v>
      </c>
      <c r="G83">
        <v>89</v>
      </c>
      <c r="H83">
        <v>2</v>
      </c>
      <c r="I83">
        <v>178</v>
      </c>
      <c r="K83" t="s">
        <v>148</v>
      </c>
      <c r="L83" t="str">
        <f t="shared" si="3"/>
        <v/>
      </c>
      <c r="M83" t="str">
        <f t="shared" si="4"/>
        <v>San Antonio, Tx</v>
      </c>
    </row>
    <row r="84" spans="1:13" x14ac:dyDescent="0.35">
      <c r="A84">
        <v>2083</v>
      </c>
      <c r="C84" t="s">
        <v>11</v>
      </c>
      <c r="D84" t="s">
        <v>16</v>
      </c>
      <c r="E84" t="s">
        <v>17</v>
      </c>
      <c r="F84" t="s">
        <v>170</v>
      </c>
      <c r="G84">
        <v>499</v>
      </c>
      <c r="H84">
        <v>3</v>
      </c>
      <c r="I84">
        <v>1497</v>
      </c>
      <c r="K84" t="s">
        <v>149</v>
      </c>
      <c r="L84" t="str">
        <f t="shared" si="3"/>
        <v/>
      </c>
      <c r="M84" t="str">
        <f t="shared" si="4"/>
        <v>San Antonio, Tx</v>
      </c>
    </row>
    <row r="85" spans="1:13" x14ac:dyDescent="0.35">
      <c r="A85">
        <v>2084</v>
      </c>
      <c r="C85" t="s">
        <v>40</v>
      </c>
      <c r="D85" t="s">
        <v>23</v>
      </c>
      <c r="E85" t="s">
        <v>24</v>
      </c>
      <c r="F85" t="s">
        <v>170</v>
      </c>
      <c r="G85">
        <v>499</v>
      </c>
      <c r="H85">
        <v>4</v>
      </c>
      <c r="I85">
        <v>1996</v>
      </c>
      <c r="K85" t="s">
        <v>150</v>
      </c>
      <c r="L85" t="str">
        <f t="shared" si="3"/>
        <v/>
      </c>
      <c r="M85" t="str">
        <f t="shared" si="4"/>
        <v>San Diego, Ca</v>
      </c>
    </row>
    <row r="86" spans="1:13" x14ac:dyDescent="0.35">
      <c r="A86">
        <v>2085</v>
      </c>
      <c r="C86" t="s">
        <v>32</v>
      </c>
      <c r="D86" t="s">
        <v>33</v>
      </c>
      <c r="E86" t="s">
        <v>24</v>
      </c>
      <c r="F86" t="s">
        <v>170</v>
      </c>
      <c r="G86">
        <v>499</v>
      </c>
      <c r="H86">
        <v>3</v>
      </c>
      <c r="I86">
        <v>1497</v>
      </c>
      <c r="K86" t="s">
        <v>151</v>
      </c>
      <c r="L86" t="str">
        <f t="shared" si="3"/>
        <v/>
      </c>
      <c r="M86" t="str">
        <f t="shared" si="4"/>
        <v>Los Angeles, Ca</v>
      </c>
    </row>
    <row r="87" spans="1:13" x14ac:dyDescent="0.35">
      <c r="A87">
        <v>2086</v>
      </c>
      <c r="C87" t="s">
        <v>11</v>
      </c>
      <c r="D87" t="s">
        <v>51</v>
      </c>
      <c r="E87" t="s">
        <v>52</v>
      </c>
      <c r="F87" t="s">
        <v>174</v>
      </c>
      <c r="G87">
        <v>899</v>
      </c>
      <c r="H87">
        <v>1</v>
      </c>
      <c r="I87">
        <v>899</v>
      </c>
      <c r="K87" t="s">
        <v>152</v>
      </c>
      <c r="L87" t="str">
        <f t="shared" si="3"/>
        <v/>
      </c>
      <c r="M87" t="str">
        <f t="shared" si="4"/>
        <v>Philadelphia, Pa</v>
      </c>
    </row>
    <row r="88" spans="1:13" x14ac:dyDescent="0.35">
      <c r="A88">
        <v>2087</v>
      </c>
      <c r="C88" t="s">
        <v>20</v>
      </c>
      <c r="D88" t="s">
        <v>59</v>
      </c>
      <c r="E88" t="s">
        <v>60</v>
      </c>
      <c r="F88" t="s">
        <v>174</v>
      </c>
      <c r="G88">
        <v>899</v>
      </c>
      <c r="H88">
        <v>4</v>
      </c>
      <c r="I88">
        <v>3596</v>
      </c>
      <c r="K88" t="s">
        <v>153</v>
      </c>
      <c r="L88" t="str">
        <f t="shared" si="3"/>
        <v/>
      </c>
      <c r="M88" t="str">
        <f t="shared" si="4"/>
        <v>Phoenix, Az</v>
      </c>
    </row>
    <row r="89" spans="1:13" x14ac:dyDescent="0.35">
      <c r="A89">
        <v>2088</v>
      </c>
      <c r="C89" t="s">
        <v>20</v>
      </c>
      <c r="D89" t="s">
        <v>27</v>
      </c>
      <c r="E89" t="s">
        <v>17</v>
      </c>
      <c r="F89" t="s">
        <v>174</v>
      </c>
      <c r="G89">
        <v>899</v>
      </c>
      <c r="H89">
        <v>5</v>
      </c>
      <c r="I89">
        <v>4495</v>
      </c>
      <c r="K89" t="s">
        <v>154</v>
      </c>
      <c r="L89" t="str">
        <f t="shared" si="3"/>
        <v/>
      </c>
      <c r="M89" t="str">
        <f t="shared" si="4"/>
        <v>Houston, Tx</v>
      </c>
    </row>
    <row r="90" spans="1:13" x14ac:dyDescent="0.35">
      <c r="A90">
        <v>2089</v>
      </c>
      <c r="C90" t="s">
        <v>32</v>
      </c>
      <c r="D90" t="s">
        <v>33</v>
      </c>
      <c r="E90" t="s">
        <v>24</v>
      </c>
      <c r="F90" t="s">
        <v>170</v>
      </c>
      <c r="G90">
        <v>499</v>
      </c>
      <c r="H90">
        <v>1</v>
      </c>
      <c r="I90">
        <v>499</v>
      </c>
      <c r="K90" t="s">
        <v>155</v>
      </c>
      <c r="L90" t="str">
        <f t="shared" si="3"/>
        <v/>
      </c>
      <c r="M90" t="str">
        <f t="shared" si="4"/>
        <v>Los Angeles, Ca</v>
      </c>
    </row>
    <row r="91" spans="1:13" x14ac:dyDescent="0.35">
      <c r="A91">
        <v>2090</v>
      </c>
      <c r="C91" t="s">
        <v>32</v>
      </c>
      <c r="D91" t="s">
        <v>12</v>
      </c>
      <c r="E91" t="s">
        <v>13</v>
      </c>
      <c r="F91" t="s">
        <v>171</v>
      </c>
      <c r="G91">
        <v>699</v>
      </c>
      <c r="H91">
        <v>4</v>
      </c>
      <c r="I91">
        <v>2796</v>
      </c>
      <c r="K91" t="s">
        <v>156</v>
      </c>
      <c r="L91" t="str">
        <f t="shared" si="3"/>
        <v/>
      </c>
      <c r="M91" t="str">
        <f t="shared" si="4"/>
        <v>Chicago, Il</v>
      </c>
    </row>
    <row r="92" spans="1:13" x14ac:dyDescent="0.35">
      <c r="A92">
        <v>2091</v>
      </c>
      <c r="C92" t="s">
        <v>20</v>
      </c>
      <c r="D92" t="s">
        <v>27</v>
      </c>
      <c r="E92" t="s">
        <v>17</v>
      </c>
      <c r="F92" t="s">
        <v>174</v>
      </c>
      <c r="G92">
        <v>899</v>
      </c>
      <c r="H92">
        <v>1</v>
      </c>
      <c r="I92">
        <v>899</v>
      </c>
      <c r="K92" t="s">
        <v>157</v>
      </c>
      <c r="L92" t="str">
        <f t="shared" si="3"/>
        <v/>
      </c>
      <c r="M92" t="str">
        <f t="shared" si="4"/>
        <v>Houston, Tx</v>
      </c>
    </row>
    <row r="93" spans="1:13" x14ac:dyDescent="0.35">
      <c r="A93">
        <v>2092</v>
      </c>
      <c r="C93" t="s">
        <v>11</v>
      </c>
      <c r="D93" t="s">
        <v>51</v>
      </c>
      <c r="E93" t="s">
        <v>52</v>
      </c>
      <c r="F93" t="s">
        <v>174</v>
      </c>
      <c r="G93">
        <v>899</v>
      </c>
      <c r="H93">
        <v>5</v>
      </c>
      <c r="I93">
        <v>4495</v>
      </c>
      <c r="K93" t="s">
        <v>159</v>
      </c>
      <c r="L93" t="str">
        <f t="shared" si="3"/>
        <v/>
      </c>
      <c r="M93" t="str">
        <f t="shared" si="4"/>
        <v>Philadelphia, Pa</v>
      </c>
    </row>
    <row r="94" spans="1:13" x14ac:dyDescent="0.35">
      <c r="A94">
        <v>2093</v>
      </c>
      <c r="C94" t="s">
        <v>11</v>
      </c>
      <c r="D94" t="s">
        <v>12</v>
      </c>
      <c r="E94" t="s">
        <v>13</v>
      </c>
      <c r="F94" t="s">
        <v>174</v>
      </c>
      <c r="G94">
        <v>899</v>
      </c>
      <c r="H94">
        <v>3</v>
      </c>
      <c r="I94">
        <v>2697</v>
      </c>
      <c r="K94" t="s">
        <v>160</v>
      </c>
      <c r="L94" t="str">
        <f t="shared" si="3"/>
        <v/>
      </c>
      <c r="M94" t="str">
        <f t="shared" si="4"/>
        <v>Chicago, Il</v>
      </c>
    </row>
    <row r="95" spans="1:13" x14ac:dyDescent="0.35">
      <c r="A95">
        <v>2094</v>
      </c>
      <c r="C95" t="s">
        <v>20</v>
      </c>
      <c r="D95" t="s">
        <v>55</v>
      </c>
      <c r="E95" t="s">
        <v>56</v>
      </c>
      <c r="F95" t="s">
        <v>171</v>
      </c>
      <c r="G95">
        <v>699</v>
      </c>
      <c r="H95">
        <v>1</v>
      </c>
      <c r="I95">
        <v>699</v>
      </c>
      <c r="K95" t="s">
        <v>161</v>
      </c>
      <c r="L95" t="str">
        <f t="shared" si="3"/>
        <v/>
      </c>
      <c r="M95" t="str">
        <f t="shared" si="4"/>
        <v>New York, Ny</v>
      </c>
    </row>
    <row r="96" spans="1:13" x14ac:dyDescent="0.35">
      <c r="A96">
        <v>2095</v>
      </c>
      <c r="C96" t="s">
        <v>32</v>
      </c>
      <c r="D96" t="s">
        <v>51</v>
      </c>
      <c r="E96" t="s">
        <v>52</v>
      </c>
      <c r="F96" t="s">
        <v>173</v>
      </c>
      <c r="G96">
        <v>89</v>
      </c>
      <c r="H96">
        <v>1</v>
      </c>
      <c r="I96">
        <v>89</v>
      </c>
      <c r="K96" t="s">
        <v>162</v>
      </c>
      <c r="L96" t="str">
        <f t="shared" si="3"/>
        <v/>
      </c>
      <c r="M96" t="str">
        <f t="shared" si="4"/>
        <v>Philadelphia, Pa</v>
      </c>
    </row>
    <row r="97" spans="1:13" x14ac:dyDescent="0.35">
      <c r="A97">
        <v>2096</v>
      </c>
      <c r="C97" t="s">
        <v>32</v>
      </c>
      <c r="D97" t="s">
        <v>59</v>
      </c>
      <c r="E97" t="s">
        <v>60</v>
      </c>
      <c r="F97" t="s">
        <v>173</v>
      </c>
      <c r="G97">
        <v>89</v>
      </c>
      <c r="H97">
        <v>4</v>
      </c>
      <c r="I97">
        <v>356</v>
      </c>
      <c r="K97" t="s">
        <v>163</v>
      </c>
      <c r="L97" t="str">
        <f t="shared" si="3"/>
        <v/>
      </c>
      <c r="M97" t="str">
        <f t="shared" si="4"/>
        <v>Phoenix, Az</v>
      </c>
    </row>
    <row r="98" spans="1:13" x14ac:dyDescent="0.35">
      <c r="A98">
        <v>2097</v>
      </c>
      <c r="C98" t="s">
        <v>32</v>
      </c>
      <c r="D98" t="s">
        <v>55</v>
      </c>
      <c r="E98" t="s">
        <v>56</v>
      </c>
      <c r="F98" t="s">
        <v>172</v>
      </c>
      <c r="G98">
        <v>299</v>
      </c>
      <c r="H98">
        <v>3</v>
      </c>
      <c r="I98">
        <v>897</v>
      </c>
      <c r="K98" t="s">
        <v>164</v>
      </c>
      <c r="L98" t="str">
        <f t="shared" si="3"/>
        <v/>
      </c>
      <c r="M98" t="str">
        <f t="shared" si="4"/>
        <v>New York, Ny</v>
      </c>
    </row>
    <row r="99" spans="1:13" x14ac:dyDescent="0.35">
      <c r="A99">
        <v>2098</v>
      </c>
      <c r="C99" t="s">
        <v>20</v>
      </c>
      <c r="D99" t="s">
        <v>16</v>
      </c>
      <c r="E99" t="s">
        <v>17</v>
      </c>
      <c r="F99" t="s">
        <v>171</v>
      </c>
      <c r="G99">
        <v>699</v>
      </c>
      <c r="H99">
        <v>2</v>
      </c>
      <c r="I99">
        <v>1398</v>
      </c>
      <c r="K99" t="s">
        <v>165</v>
      </c>
      <c r="L99" t="str">
        <f t="shared" si="3"/>
        <v/>
      </c>
      <c r="M99" t="str">
        <f t="shared" si="4"/>
        <v>San Antonio, Tx</v>
      </c>
    </row>
    <row r="100" spans="1:13" x14ac:dyDescent="0.35">
      <c r="A100">
        <v>2099</v>
      </c>
      <c r="C100" t="s">
        <v>20</v>
      </c>
      <c r="D100" t="s">
        <v>12</v>
      </c>
      <c r="E100" t="s">
        <v>13</v>
      </c>
      <c r="F100" t="s">
        <v>170</v>
      </c>
      <c r="G100">
        <v>499</v>
      </c>
      <c r="H100">
        <v>5</v>
      </c>
      <c r="I100">
        <v>2495</v>
      </c>
      <c r="K100" t="s">
        <v>166</v>
      </c>
      <c r="L100" t="str">
        <f t="shared" si="3"/>
        <v/>
      </c>
      <c r="M100" t="str">
        <f t="shared" si="4"/>
        <v>Chicago, Il</v>
      </c>
    </row>
    <row r="101" spans="1:13" x14ac:dyDescent="0.35">
      <c r="A101">
        <v>2100</v>
      </c>
      <c r="C101" t="s">
        <v>11</v>
      </c>
      <c r="D101" t="s">
        <v>33</v>
      </c>
      <c r="E101" t="s">
        <v>24</v>
      </c>
      <c r="F101" t="s">
        <v>172</v>
      </c>
      <c r="G101">
        <v>299</v>
      </c>
      <c r="H101">
        <v>1</v>
      </c>
      <c r="I101">
        <v>299</v>
      </c>
      <c r="K101" t="s">
        <v>167</v>
      </c>
      <c r="L101" t="str">
        <f t="shared" si="3"/>
        <v/>
      </c>
      <c r="M101" t="str">
        <f>CLEAN(PROPER(_xlfn.CONCAT(D101,","," ",E101)))</f>
        <v>Los Angeles, Ca</v>
      </c>
    </row>
    <row r="108" spans="1:13" x14ac:dyDescent="0.35">
      <c r="C108" s="1"/>
    </row>
    <row r="109" spans="1:13" x14ac:dyDescent="0.35">
      <c r="B109" s="2" t="s">
        <v>227</v>
      </c>
      <c r="C109" s="2" t="s">
        <v>230</v>
      </c>
    </row>
    <row r="110" spans="1:13" x14ac:dyDescent="0.35">
      <c r="B110" s="2" t="s">
        <v>228</v>
      </c>
      <c r="C110" t="s">
        <v>173</v>
      </c>
      <c r="D110" t="s">
        <v>174</v>
      </c>
      <c r="E110" t="s">
        <v>172</v>
      </c>
      <c r="F110" t="s">
        <v>171</v>
      </c>
      <c r="G110" t="s">
        <v>170</v>
      </c>
      <c r="H110" t="s">
        <v>229</v>
      </c>
    </row>
    <row r="111" spans="1:13" x14ac:dyDescent="0.35">
      <c r="B111" s="3" t="s">
        <v>40</v>
      </c>
      <c r="C111">
        <v>1424</v>
      </c>
      <c r="D111">
        <v>22475</v>
      </c>
      <c r="E111">
        <v>6279</v>
      </c>
      <c r="F111">
        <v>7689</v>
      </c>
      <c r="G111">
        <v>7984</v>
      </c>
      <c r="H111">
        <v>45851</v>
      </c>
    </row>
    <row r="112" spans="1:13" x14ac:dyDescent="0.35">
      <c r="B112" s="3" t="s">
        <v>32</v>
      </c>
      <c r="C112">
        <v>1869</v>
      </c>
      <c r="D112">
        <v>9889</v>
      </c>
      <c r="E112">
        <v>2392</v>
      </c>
      <c r="F112">
        <v>9786</v>
      </c>
      <c r="G112">
        <v>4990</v>
      </c>
      <c r="H112">
        <v>28926</v>
      </c>
    </row>
    <row r="113" spans="2:8" x14ac:dyDescent="0.35">
      <c r="B113" s="3" t="s">
        <v>11</v>
      </c>
      <c r="C113">
        <v>2047</v>
      </c>
      <c r="D113">
        <v>21576</v>
      </c>
      <c r="E113">
        <v>4485</v>
      </c>
      <c r="F113">
        <v>9087</v>
      </c>
      <c r="G113">
        <v>9481</v>
      </c>
      <c r="H113">
        <v>46676</v>
      </c>
    </row>
    <row r="114" spans="2:8" x14ac:dyDescent="0.35">
      <c r="B114" s="3" t="s">
        <v>20</v>
      </c>
      <c r="C114">
        <v>1068</v>
      </c>
      <c r="D114">
        <v>24273</v>
      </c>
      <c r="E114">
        <v>1794</v>
      </c>
      <c r="F114">
        <v>9786</v>
      </c>
      <c r="G114">
        <v>10978</v>
      </c>
      <c r="H114">
        <v>47899</v>
      </c>
    </row>
    <row r="115" spans="2:8" x14ac:dyDescent="0.35">
      <c r="B115" s="3" t="s">
        <v>229</v>
      </c>
      <c r="C115">
        <v>6408</v>
      </c>
      <c r="D115">
        <v>78213</v>
      </c>
      <c r="E115">
        <v>14950</v>
      </c>
      <c r="F115">
        <v>36348</v>
      </c>
      <c r="G115">
        <v>33433</v>
      </c>
      <c r="H115">
        <v>169352</v>
      </c>
    </row>
  </sheetData>
  <autoFilter ref="A1:M101" xr:uid="{00000000-0001-0000-0000-000000000000}"/>
  <conditionalFormatting sqref="I1:I110 I116:I1048576">
    <cfRule type="cellIs" dxfId="0" priority="1" operator="greaterThan">
      <formula>1000</formula>
    </cfRule>
  </conditionalFormatting>
  <pageMargins left="0.75" right="0.75" top="1" bottom="1" header="0.5" footer="0.5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Sales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Maia Black</cp:lastModifiedBy>
  <dcterms:created xsi:type="dcterms:W3CDTF">2026-04-09T12:04:05Z</dcterms:created>
  <dcterms:modified xsi:type="dcterms:W3CDTF">2026-04-10T18:05:15Z</dcterms:modified>
</cp:coreProperties>
</file>