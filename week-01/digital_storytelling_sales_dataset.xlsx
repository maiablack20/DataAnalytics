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disco\Documents\DataAnalytics\week-01\"/>
    </mc:Choice>
  </mc:AlternateContent>
  <xr:revisionPtr revIDLastSave="0" documentId="13_ncr:1_{6E48629C-02F4-4FF2-A6E2-161E096A8786}" xr6:coauthVersionLast="47" xr6:coauthVersionMax="47" xr10:uidLastSave="{00000000-0000-0000-0000-000000000000}"/>
  <bookViews>
    <workbookView xWindow="-110" yWindow="-110" windowWidth="25820" windowHeight="13900" xr2:uid="{00000000-000D-0000-FFFF-FFFF00000000}"/>
  </bookViews>
  <sheets>
    <sheet name="Retail Sales Data" sheetId="1" r:id="rId1"/>
    <sheet name="Sheet1" sheetId="2" r:id="rId2"/>
  </sheets>
  <definedNames>
    <definedName name="_xlnm._FilterDatabase" localSheetId="0" hidden="1">'Retail Sales Data'!$A$1:$I$121</definedName>
  </definedNames>
  <calcPr calcId="191028"/>
  <pivotCaches>
    <pivotCache cacheId="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2" i="1"/>
  <c r="J130" i="1" l="1"/>
  <c r="G130" i="1"/>
  <c r="D133" i="1"/>
  <c r="C133" i="1"/>
  <c r="C130" i="1"/>
  <c r="I130" i="1"/>
  <c r="H130" i="1"/>
  <c r="E130" i="1"/>
  <c r="D130" i="1"/>
  <c r="F130" i="1" s="1"/>
  <c r="F127" i="1"/>
  <c r="D127" i="1"/>
  <c r="C124" i="1"/>
  <c r="E127" i="1"/>
  <c r="C127" i="1"/>
</calcChain>
</file>

<file path=xl/sharedStrings.xml><?xml version="1.0" encoding="utf-8"?>
<sst xmlns="http://schemas.openxmlformats.org/spreadsheetml/2006/main" count="647" uniqueCount="142">
  <si>
    <t>Order ID</t>
  </si>
  <si>
    <t>Date</t>
  </si>
  <si>
    <t>Region</t>
  </si>
  <si>
    <t>Product</t>
  </si>
  <si>
    <t>Category</t>
  </si>
  <si>
    <t>Customer</t>
  </si>
  <si>
    <t>Units Sold</t>
  </si>
  <si>
    <t>Unit Price</t>
  </si>
  <si>
    <t>Total Sales</t>
  </si>
  <si>
    <t>2025-04-21</t>
  </si>
  <si>
    <t>South</t>
  </si>
  <si>
    <t>Laptop</t>
  </si>
  <si>
    <t>Technology</t>
  </si>
  <si>
    <t>Hernandez</t>
  </si>
  <si>
    <t>2025-03-21</t>
  </si>
  <si>
    <t>East</t>
  </si>
  <si>
    <t>Monitor</t>
  </si>
  <si>
    <t>Lopez</t>
  </si>
  <si>
    <t>2025-01-18</t>
  </si>
  <si>
    <t>Desk</t>
  </si>
  <si>
    <t>Furniture</t>
  </si>
  <si>
    <t>Wilson</t>
  </si>
  <si>
    <t>2025-04-28</t>
  </si>
  <si>
    <t>Taylor</t>
  </si>
  <si>
    <t>2025-03-19</t>
  </si>
  <si>
    <t>West</t>
  </si>
  <si>
    <t>Printer</t>
  </si>
  <si>
    <t>Anderson</t>
  </si>
  <si>
    <t>2025-04-19</t>
  </si>
  <si>
    <t>North</t>
  </si>
  <si>
    <t>Bookshelf</t>
  </si>
  <si>
    <t>2025-02-03</t>
  </si>
  <si>
    <t>Smith</t>
  </si>
  <si>
    <t>2025-04-02</t>
  </si>
  <si>
    <t>2025-02-10</t>
  </si>
  <si>
    <t>Chair</t>
  </si>
  <si>
    <t>2025-02-25</t>
  </si>
  <si>
    <t>2025-03-17</t>
  </si>
  <si>
    <t>Rodriguez</t>
  </si>
  <si>
    <t>2025-03-30</t>
  </si>
  <si>
    <t>Davis</t>
  </si>
  <si>
    <t>2025-04-08</t>
  </si>
  <si>
    <t>Thomas</t>
  </si>
  <si>
    <t>2025-03-22</t>
  </si>
  <si>
    <t>Jones</t>
  </si>
  <si>
    <t>2025-03-25</t>
  </si>
  <si>
    <t>Brown</t>
  </si>
  <si>
    <t>2025-03-24</t>
  </si>
  <si>
    <t>Phone</t>
  </si>
  <si>
    <t>Jackson</t>
  </si>
  <si>
    <t>2025-03-15</t>
  </si>
  <si>
    <t>2025-04-27</t>
  </si>
  <si>
    <t>2025-01-07</t>
  </si>
  <si>
    <t>Garcia</t>
  </si>
  <si>
    <t>2025-02-06</t>
  </si>
  <si>
    <t>2025-04-04</t>
  </si>
  <si>
    <t>Johnson</t>
  </si>
  <si>
    <t>2025-02-05</t>
  </si>
  <si>
    <t>2025-03-16</t>
  </si>
  <si>
    <t>Tablet</t>
  </si>
  <si>
    <t>2025-04-01</t>
  </si>
  <si>
    <t>2025-01-08</t>
  </si>
  <si>
    <t>2025-03-03</t>
  </si>
  <si>
    <t>2025-01-27</t>
  </si>
  <si>
    <t>Williams</t>
  </si>
  <si>
    <t>2025-03-06</t>
  </si>
  <si>
    <t>2025-01-19</t>
  </si>
  <si>
    <t>Miller</t>
  </si>
  <si>
    <t>2025-03-14</t>
  </si>
  <si>
    <t>2025-01-13</t>
  </si>
  <si>
    <t>2025-02-01</t>
  </si>
  <si>
    <t>2025-04-17</t>
  </si>
  <si>
    <t>Martinez</t>
  </si>
  <si>
    <t>2025-01-24</t>
  </si>
  <si>
    <t>2025-01-21</t>
  </si>
  <si>
    <t>Martin</t>
  </si>
  <si>
    <t>2025-02-26</t>
  </si>
  <si>
    <t>2025-01-30</t>
  </si>
  <si>
    <t>Gonzalez</t>
  </si>
  <si>
    <t>2025-02-19</t>
  </si>
  <si>
    <t>2025-01-26</t>
  </si>
  <si>
    <t>2025-02-13</t>
  </si>
  <si>
    <t>Moore</t>
  </si>
  <si>
    <t>2025-03-13</t>
  </si>
  <si>
    <t>2025-01-29</t>
  </si>
  <si>
    <t>2025-01-04</t>
  </si>
  <si>
    <t>2025-04-25</t>
  </si>
  <si>
    <t>2025-04-23</t>
  </si>
  <si>
    <t>2025-03-08</t>
  </si>
  <si>
    <t>2025-04-16</t>
  </si>
  <si>
    <t>2025-04-07</t>
  </si>
  <si>
    <t>2025-01-14</t>
  </si>
  <si>
    <t>2025-01-02</t>
  </si>
  <si>
    <t>2025-03-04</t>
  </si>
  <si>
    <t>2025-04-14</t>
  </si>
  <si>
    <t>2025-02-09</t>
  </si>
  <si>
    <t>2025-02-02</t>
  </si>
  <si>
    <t>2025-03-09</t>
  </si>
  <si>
    <t>2025-02-22</t>
  </si>
  <si>
    <t>2025-03-10</t>
  </si>
  <si>
    <t>2025-02-15</t>
  </si>
  <si>
    <t>2025-01-16</t>
  </si>
  <si>
    <t>2025-02-24</t>
  </si>
  <si>
    <t>2025-03-07</t>
  </si>
  <si>
    <t>2025-03-18</t>
  </si>
  <si>
    <t>2025-02-04</t>
  </si>
  <si>
    <t>2025-01-11</t>
  </si>
  <si>
    <t>2025-04-26</t>
  </si>
  <si>
    <t>2025-02-28</t>
  </si>
  <si>
    <t>2025-01-03</t>
  </si>
  <si>
    <t>2025-01-28</t>
  </si>
  <si>
    <t>2025-04-22</t>
  </si>
  <si>
    <t>2025-03-27</t>
  </si>
  <si>
    <t>2025-01-09</t>
  </si>
  <si>
    <t>2025-03-28</t>
  </si>
  <si>
    <t>2025-01-06</t>
  </si>
  <si>
    <t>2025-02-27</t>
  </si>
  <si>
    <t>2025-02-08</t>
  </si>
  <si>
    <t>2. Total Sales by Region:</t>
  </si>
  <si>
    <t>1. Total Revenue:</t>
  </si>
  <si>
    <t>3. Top Selling Product</t>
  </si>
  <si>
    <t>4. Total Sales by Category</t>
  </si>
  <si>
    <t>Furniture:</t>
  </si>
  <si>
    <t>Techonology:</t>
  </si>
  <si>
    <t xml:space="preserve">Davis would be the top customer by sales. </t>
  </si>
  <si>
    <t>5. Top Customer By Sales:</t>
  </si>
  <si>
    <t>Task 2:</t>
  </si>
  <si>
    <t>Task 3:</t>
  </si>
  <si>
    <t>Sum of Total Sales</t>
  </si>
  <si>
    <t>Row Labels</t>
  </si>
  <si>
    <t>Grand Total</t>
  </si>
  <si>
    <t>1. Bar Chart for Sales by Region</t>
  </si>
  <si>
    <t>2. Bar Chart for Sales By Product</t>
  </si>
  <si>
    <t>3. Pie Chart for Sales by Category</t>
  </si>
  <si>
    <t xml:space="preserve">Business Question: </t>
  </si>
  <si>
    <t>Answer:</t>
  </si>
  <si>
    <t xml:space="preserve">1. Why are sales lower for furniture as opposed to technology? </t>
  </si>
  <si>
    <t xml:space="preserve">The reason for why furniture products are much lower than technology is due to the needs of the customers. When it comes to technology, there is a high need for it, especially if you are running a business because not having the proper or even working technology can make or break your business and the same goes for customers who are buying specific technology for things like school. When it comes to furniture, the need for it is low, which in turn causes the sales for it to be lower than that of technology. </t>
  </si>
  <si>
    <t>2. Key Insights</t>
  </si>
  <si>
    <t xml:space="preserve">Furniture is the lowest selling category overall, the Southern Region has generated the most income for furniture sales, and chairs are the top selling product as well. </t>
  </si>
  <si>
    <t>3. Recommendation</t>
  </si>
  <si>
    <t xml:space="preserve">My recommendation for the company is to advertise more of the furniture or at least see what advertisements have been used for technology in order to drive up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</si>
</sst>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[digital_storytelling_sales_dataset.xlsx]Retail Sales Data!PivotTable39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 Sales Data'!$F$148</c:f>
              <c:strCache>
                <c:ptCount val="1"/>
                <c:pt idx="0">
                  <c:v>Total</c:v>
                </c:pt>
              </c:strCache>
            </c:strRef>
          </c:tx>
          <c:spPr>
            <a:solidFill>
              <a:schemeClr val="accent1"/>
            </a:solidFill>
            <a:ln>
              <a:noFill/>
            </a:ln>
            <a:effectLst/>
          </c:spPr>
          <c:invertIfNegative val="0"/>
          <c:cat>
            <c:strRef>
              <c:f>'Retail Sales Data'!$E$149:$E$151</c:f>
              <c:strCache>
                <c:ptCount val="2"/>
                <c:pt idx="0">
                  <c:v>Furniture</c:v>
                </c:pt>
                <c:pt idx="1">
                  <c:v>Technology</c:v>
                </c:pt>
              </c:strCache>
            </c:strRef>
          </c:cat>
          <c:val>
            <c:numRef>
              <c:f>'Retail Sales Data'!$F$149:$F$151</c:f>
              <c:numCache>
                <c:formatCode>General</c:formatCode>
                <c:ptCount val="2"/>
                <c:pt idx="0">
                  <c:v>52310</c:v>
                </c:pt>
                <c:pt idx="1">
                  <c:v>168750</c:v>
                </c:pt>
              </c:numCache>
            </c:numRef>
          </c:val>
          <c:extLst>
            <c:ext xmlns:c16="http://schemas.microsoft.com/office/drawing/2014/chart" uri="{C3380CC4-5D6E-409C-BE32-E72D297353CC}">
              <c16:uniqueId val="{00000000-1DE6-4D23-9167-88DF9B240947}"/>
            </c:ext>
          </c:extLst>
        </c:ser>
        <c:dLbls>
          <c:showLegendKey val="0"/>
          <c:showVal val="0"/>
          <c:showCatName val="0"/>
          <c:showSerName val="0"/>
          <c:showPercent val="0"/>
          <c:showBubbleSize val="0"/>
        </c:dLbls>
        <c:gapWidth val="219"/>
        <c:axId val="1571629344"/>
        <c:axId val="1571626944"/>
      </c:barChart>
      <c:catAx>
        <c:axId val="157162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26944"/>
        <c:crosses val="autoZero"/>
        <c:auto val="1"/>
        <c:lblAlgn val="ctr"/>
        <c:lblOffset val="100"/>
        <c:noMultiLvlLbl val="0"/>
      </c:catAx>
      <c:valAx>
        <c:axId val="157162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2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[digital_storytelling_sales_dataset.xlsx]Retail Sales Data!PivotTable39</c:name>
    <c:fmtId val="5"/>
  </c:pivotSource>
  <c:chart>
    <c:title>
      <c:layout>
        <c:manualLayout>
          <c:xMode val="edge"/>
          <c:yMode val="edge"/>
          <c:x val="0.453611111111111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 Sales Data'!$F$148</c:f>
              <c:strCache>
                <c:ptCount val="1"/>
                <c:pt idx="0">
                  <c:v>Total</c:v>
                </c:pt>
              </c:strCache>
            </c:strRef>
          </c:tx>
          <c:spPr>
            <a:solidFill>
              <a:schemeClr val="accent2"/>
            </a:solidFill>
            <a:ln>
              <a:noFill/>
            </a:ln>
            <a:effectLst/>
          </c:spPr>
          <c:invertIfNegative val="0"/>
          <c:cat>
            <c:strRef>
              <c:f>'Retail Sales Data'!$E$149:$E$151</c:f>
              <c:strCache>
                <c:ptCount val="2"/>
                <c:pt idx="0">
                  <c:v>Furniture</c:v>
                </c:pt>
                <c:pt idx="1">
                  <c:v>Technology</c:v>
                </c:pt>
              </c:strCache>
            </c:strRef>
          </c:cat>
          <c:val>
            <c:numRef>
              <c:f>'Retail Sales Data'!$F$149:$F$151</c:f>
              <c:numCache>
                <c:formatCode>General</c:formatCode>
                <c:ptCount val="2"/>
                <c:pt idx="0">
                  <c:v>52310</c:v>
                </c:pt>
                <c:pt idx="1">
                  <c:v>168750</c:v>
                </c:pt>
              </c:numCache>
            </c:numRef>
          </c:val>
          <c:extLst>
            <c:ext xmlns:c16="http://schemas.microsoft.com/office/drawing/2014/chart" uri="{C3380CC4-5D6E-409C-BE32-E72D297353CC}">
              <c16:uniqueId val="{00000000-4FCC-449B-94CE-B6584E3CEF8B}"/>
            </c:ext>
          </c:extLst>
        </c:ser>
        <c:dLbls>
          <c:showLegendKey val="0"/>
          <c:showVal val="0"/>
          <c:showCatName val="0"/>
          <c:showSerName val="0"/>
          <c:showPercent val="0"/>
          <c:showBubbleSize val="0"/>
        </c:dLbls>
        <c:gapWidth val="219"/>
        <c:overlap val="-27"/>
        <c:axId val="714406783"/>
        <c:axId val="714407263"/>
      </c:barChart>
      <c:catAx>
        <c:axId val="7144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07263"/>
        <c:crosses val="autoZero"/>
        <c:auto val="1"/>
        <c:lblAlgn val="ctr"/>
        <c:lblOffset val="100"/>
        <c:noMultiLvlLbl val="0"/>
      </c:catAx>
      <c:valAx>
        <c:axId val="71440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0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[digital_storytelling_sales_dataset.xlsx]Retail Sales Data!PivotTable39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'Retail Sales Data'!$F$148</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cat>
            <c:strRef>
              <c:f>'Retail Sales Data'!$E$149:$E$151</c:f>
              <c:strCache>
                <c:ptCount val="2"/>
                <c:pt idx="0">
                  <c:v>Furniture</c:v>
                </c:pt>
                <c:pt idx="1">
                  <c:v>Technology</c:v>
                </c:pt>
              </c:strCache>
            </c:strRef>
          </c:cat>
          <c:val>
            <c:numRef>
              <c:f>'Retail Sales Data'!$F$149:$F$151</c:f>
              <c:numCache>
                <c:formatCode>General</c:formatCode>
                <c:ptCount val="2"/>
                <c:pt idx="0">
                  <c:v>52310</c:v>
                </c:pt>
                <c:pt idx="1">
                  <c:v>168750</c:v>
                </c:pt>
              </c:numCache>
            </c:numRef>
          </c:val>
          <c:extLst>
            <c:ext xmlns:c16="http://schemas.microsoft.com/office/drawing/2014/chart" uri="{C3380CC4-5D6E-409C-BE32-E72D297353CC}">
              <c16:uniqueId val="{00000000-F4A5-45BC-A2E0-7B3165663F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606424</xdr:colOff>
      <xdr:row>143</xdr:row>
      <xdr:rowOff>168275</xdr:rowOff>
    </xdr:from>
    <xdr:to>
      <xdr:col>3</xdr:col>
      <xdr:colOff>692149</xdr:colOff>
      <xdr:row>158</xdr:row>
      <xdr:rowOff>120650</xdr:rowOff>
    </xdr:to>
    <xdr:graphicFrame macro="">
      <xdr:nvGraphicFramePr>
        <xdr:cNvPr id="7" name="Chart 6">
          <a:extLst>
            <a:ext uri="{FF2B5EF4-FFF2-40B4-BE49-F238E27FC236}">
              <a16:creationId xmlns:a16="http://schemas.microsoft.com/office/drawing/2014/main" id="{C4759852-2279-B12E-ED5C-8808C93B8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41275</xdr:colOff>
      <xdr:row>164</xdr:row>
      <xdr:rowOff>34925</xdr:rowOff>
    </xdr:from>
    <xdr:to>
      <xdr:col>4</xdr:col>
      <xdr:colOff>28575</xdr:colOff>
      <xdr:row>179</xdr:row>
      <xdr:rowOff>15875</xdr:rowOff>
    </xdr:to>
    <xdr:graphicFrame macro="">
      <xdr:nvGraphicFramePr>
        <xdr:cNvPr id="2" name="Chart 1">
          <a:extLst>
            <a:ext uri="{FF2B5EF4-FFF2-40B4-BE49-F238E27FC236}">
              <a16:creationId xmlns:a16="http://schemas.microsoft.com/office/drawing/2014/main" id="{A1522506-F28D-AC14-3720-1580974C7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606425</xdr:colOff>
      <xdr:row>183</xdr:row>
      <xdr:rowOff>180975</xdr:rowOff>
    </xdr:from>
    <xdr:to>
      <xdr:col>3</xdr:col>
      <xdr:colOff>746125</xdr:colOff>
      <xdr:row>198</xdr:row>
      <xdr:rowOff>161925</xdr:rowOff>
    </xdr:to>
    <xdr:graphicFrame macro="">
      <xdr:nvGraphicFramePr>
        <xdr:cNvPr id="3" name="Chart 2">
          <a:extLst>
            <a:ext uri="{FF2B5EF4-FFF2-40B4-BE49-F238E27FC236}">
              <a16:creationId xmlns:a16="http://schemas.microsoft.com/office/drawing/2014/main" id="{45B8CD7B-6ADF-EF56-FFFD-8D70473BA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a Black" refreshedDate="46122.655416898146" createdVersion="8" refreshedVersion="8" minRefreshableVersion="3" recordCount="120" xr:uid="{0A0B3FF2-7921-4A46-9948-BE737153AD95}">
  <cacheSource type="worksheet">
    <worksheetSource ref="C1:I121" sheet="Retail Sales Data"/>
  </cacheSource>
  <cacheFields count="7">
    <cacheField name="Region" numFmtId="0">
      <sharedItems count="4">
        <s v="South"/>
        <s v="East"/>
        <s v="West"/>
        <s v="North"/>
      </sharedItems>
    </cacheField>
    <cacheField name="Product" numFmtId="0">
      <sharedItems count="8">
        <s v="Laptop"/>
        <s v="Monitor"/>
        <s v="Desk"/>
        <s v="Printer"/>
        <s v="Bookshelf"/>
        <s v="Chair"/>
        <s v="Phone"/>
        <s v="Tablet"/>
      </sharedItems>
    </cacheField>
    <cacheField name="Category" numFmtId="0">
      <sharedItems count="2">
        <s v="Technology"/>
        <s v="Furniture"/>
      </sharedItems>
    </cacheField>
    <cacheField name="Customer" numFmtId="0">
      <sharedItems/>
    </cacheField>
    <cacheField name="Units Sold" numFmtId="0">
      <sharedItems containsSemiMixedTypes="0" containsString="0" containsNumber="1" containsInteger="1" minValue="1" maxValue="8"/>
    </cacheField>
    <cacheField name="Unit Price" numFmtId="0">
      <sharedItems containsSemiMixedTypes="0" containsString="0" containsNumber="1" containsInteger="1" minValue="120" maxValue="900"/>
    </cacheField>
    <cacheField name="Total Sales" numFmtId="0">
      <sharedItems containsSemiMixedTypes="0" containsString="0" containsNumber="1" containsInteger="1" minValue="120" maxValue="7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s v="Hernandez"/>
    <n v="2"/>
    <n v="900"/>
    <n v="1800"/>
  </r>
  <r>
    <x v="1"/>
    <x v="1"/>
    <x v="0"/>
    <s v="Lopez"/>
    <n v="8"/>
    <n v="300"/>
    <n v="2400"/>
  </r>
  <r>
    <x v="1"/>
    <x v="2"/>
    <x v="1"/>
    <s v="Wilson"/>
    <n v="6"/>
    <n v="350"/>
    <n v="2100"/>
  </r>
  <r>
    <x v="0"/>
    <x v="2"/>
    <x v="1"/>
    <s v="Taylor"/>
    <n v="2"/>
    <n v="350"/>
    <n v="700"/>
  </r>
  <r>
    <x v="2"/>
    <x v="3"/>
    <x v="0"/>
    <s v="Anderson"/>
    <n v="5"/>
    <n v="250"/>
    <n v="1250"/>
  </r>
  <r>
    <x v="3"/>
    <x v="4"/>
    <x v="1"/>
    <s v="Wilson"/>
    <n v="1"/>
    <n v="200"/>
    <n v="200"/>
  </r>
  <r>
    <x v="1"/>
    <x v="4"/>
    <x v="1"/>
    <s v="Smith"/>
    <n v="7"/>
    <n v="200"/>
    <n v="1400"/>
  </r>
  <r>
    <x v="0"/>
    <x v="4"/>
    <x v="1"/>
    <s v="Taylor"/>
    <n v="5"/>
    <n v="200"/>
    <n v="1000"/>
  </r>
  <r>
    <x v="2"/>
    <x v="5"/>
    <x v="1"/>
    <s v="Anderson"/>
    <n v="5"/>
    <n v="120"/>
    <n v="600"/>
  </r>
  <r>
    <x v="2"/>
    <x v="1"/>
    <x v="0"/>
    <s v="Lopez"/>
    <n v="7"/>
    <n v="300"/>
    <n v="2100"/>
  </r>
  <r>
    <x v="0"/>
    <x v="0"/>
    <x v="0"/>
    <s v="Rodriguez"/>
    <n v="1"/>
    <n v="900"/>
    <n v="900"/>
  </r>
  <r>
    <x v="0"/>
    <x v="0"/>
    <x v="0"/>
    <s v="Davis"/>
    <n v="7"/>
    <n v="900"/>
    <n v="6300"/>
  </r>
  <r>
    <x v="1"/>
    <x v="0"/>
    <x v="0"/>
    <s v="Thomas"/>
    <n v="7"/>
    <n v="900"/>
    <n v="6300"/>
  </r>
  <r>
    <x v="3"/>
    <x v="4"/>
    <x v="1"/>
    <s v="Jones"/>
    <n v="6"/>
    <n v="200"/>
    <n v="1200"/>
  </r>
  <r>
    <x v="0"/>
    <x v="1"/>
    <x v="0"/>
    <s v="Taylor"/>
    <n v="7"/>
    <n v="300"/>
    <n v="2100"/>
  </r>
  <r>
    <x v="3"/>
    <x v="0"/>
    <x v="0"/>
    <s v="Brown"/>
    <n v="5"/>
    <n v="900"/>
    <n v="4500"/>
  </r>
  <r>
    <x v="2"/>
    <x v="6"/>
    <x v="0"/>
    <s v="Jackson"/>
    <n v="2"/>
    <n v="600"/>
    <n v="1200"/>
  </r>
  <r>
    <x v="2"/>
    <x v="6"/>
    <x v="0"/>
    <s v="Taylor"/>
    <n v="4"/>
    <n v="600"/>
    <n v="2400"/>
  </r>
  <r>
    <x v="3"/>
    <x v="1"/>
    <x v="0"/>
    <s v="Taylor"/>
    <n v="3"/>
    <n v="300"/>
    <n v="900"/>
  </r>
  <r>
    <x v="1"/>
    <x v="6"/>
    <x v="0"/>
    <s v="Rodriguez"/>
    <n v="2"/>
    <n v="600"/>
    <n v="1200"/>
  </r>
  <r>
    <x v="2"/>
    <x v="5"/>
    <x v="1"/>
    <s v="Garcia"/>
    <n v="3"/>
    <n v="120"/>
    <n v="360"/>
  </r>
  <r>
    <x v="1"/>
    <x v="4"/>
    <x v="1"/>
    <s v="Lopez"/>
    <n v="7"/>
    <n v="200"/>
    <n v="1400"/>
  </r>
  <r>
    <x v="0"/>
    <x v="2"/>
    <x v="1"/>
    <s v="Smith"/>
    <n v="8"/>
    <n v="350"/>
    <n v="2800"/>
  </r>
  <r>
    <x v="1"/>
    <x v="3"/>
    <x v="0"/>
    <s v="Johnson"/>
    <n v="4"/>
    <n v="250"/>
    <n v="1000"/>
  </r>
  <r>
    <x v="2"/>
    <x v="6"/>
    <x v="0"/>
    <s v="Johnson"/>
    <n v="7"/>
    <n v="600"/>
    <n v="4200"/>
  </r>
  <r>
    <x v="2"/>
    <x v="4"/>
    <x v="1"/>
    <s v="Davis"/>
    <n v="3"/>
    <n v="200"/>
    <n v="600"/>
  </r>
  <r>
    <x v="1"/>
    <x v="7"/>
    <x v="0"/>
    <s v="Johnson"/>
    <n v="7"/>
    <n v="400"/>
    <n v="2800"/>
  </r>
  <r>
    <x v="3"/>
    <x v="5"/>
    <x v="1"/>
    <s v="Davis"/>
    <n v="2"/>
    <n v="120"/>
    <n v="240"/>
  </r>
  <r>
    <x v="0"/>
    <x v="7"/>
    <x v="0"/>
    <s v="Thomas"/>
    <n v="7"/>
    <n v="400"/>
    <n v="2800"/>
  </r>
  <r>
    <x v="3"/>
    <x v="3"/>
    <x v="0"/>
    <s v="Smith"/>
    <n v="8"/>
    <n v="250"/>
    <n v="2000"/>
  </r>
  <r>
    <x v="1"/>
    <x v="1"/>
    <x v="0"/>
    <s v="Williams"/>
    <n v="3"/>
    <n v="300"/>
    <n v="900"/>
  </r>
  <r>
    <x v="2"/>
    <x v="4"/>
    <x v="1"/>
    <s v="Garcia"/>
    <n v="6"/>
    <n v="200"/>
    <n v="1200"/>
  </r>
  <r>
    <x v="2"/>
    <x v="4"/>
    <x v="1"/>
    <s v="Miller"/>
    <n v="2"/>
    <n v="200"/>
    <n v="400"/>
  </r>
  <r>
    <x v="2"/>
    <x v="0"/>
    <x v="0"/>
    <s v="Taylor"/>
    <n v="6"/>
    <n v="900"/>
    <n v="5400"/>
  </r>
  <r>
    <x v="0"/>
    <x v="0"/>
    <x v="0"/>
    <s v="Thomas"/>
    <n v="6"/>
    <n v="900"/>
    <n v="5400"/>
  </r>
  <r>
    <x v="1"/>
    <x v="3"/>
    <x v="0"/>
    <s v="Johnson"/>
    <n v="8"/>
    <n v="250"/>
    <n v="2000"/>
  </r>
  <r>
    <x v="3"/>
    <x v="3"/>
    <x v="0"/>
    <s v="Smith"/>
    <n v="3"/>
    <n v="250"/>
    <n v="750"/>
  </r>
  <r>
    <x v="0"/>
    <x v="1"/>
    <x v="0"/>
    <s v="Martinez"/>
    <n v="2"/>
    <n v="300"/>
    <n v="600"/>
  </r>
  <r>
    <x v="1"/>
    <x v="2"/>
    <x v="1"/>
    <s v="Miller"/>
    <n v="8"/>
    <n v="350"/>
    <n v="2800"/>
  </r>
  <r>
    <x v="2"/>
    <x v="3"/>
    <x v="0"/>
    <s v="Smith"/>
    <n v="2"/>
    <n v="250"/>
    <n v="500"/>
  </r>
  <r>
    <x v="2"/>
    <x v="6"/>
    <x v="0"/>
    <s v="Martin"/>
    <n v="7"/>
    <n v="600"/>
    <n v="4200"/>
  </r>
  <r>
    <x v="0"/>
    <x v="3"/>
    <x v="0"/>
    <s v="Taylor"/>
    <n v="5"/>
    <n v="250"/>
    <n v="1250"/>
  </r>
  <r>
    <x v="0"/>
    <x v="3"/>
    <x v="0"/>
    <s v="Martinez"/>
    <n v="3"/>
    <n v="250"/>
    <n v="750"/>
  </r>
  <r>
    <x v="3"/>
    <x v="7"/>
    <x v="0"/>
    <s v="Lopez"/>
    <n v="2"/>
    <n v="400"/>
    <n v="800"/>
  </r>
  <r>
    <x v="3"/>
    <x v="0"/>
    <x v="0"/>
    <s v="Thomas"/>
    <n v="1"/>
    <n v="900"/>
    <n v="900"/>
  </r>
  <r>
    <x v="1"/>
    <x v="0"/>
    <x v="0"/>
    <s v="Gonzalez"/>
    <n v="6"/>
    <n v="900"/>
    <n v="5400"/>
  </r>
  <r>
    <x v="2"/>
    <x v="2"/>
    <x v="1"/>
    <s v="Brown"/>
    <n v="7"/>
    <n v="350"/>
    <n v="2450"/>
  </r>
  <r>
    <x v="2"/>
    <x v="4"/>
    <x v="1"/>
    <s v="Smith"/>
    <n v="3"/>
    <n v="200"/>
    <n v="600"/>
  </r>
  <r>
    <x v="3"/>
    <x v="1"/>
    <x v="0"/>
    <s v="Gonzalez"/>
    <n v="1"/>
    <n v="300"/>
    <n v="300"/>
  </r>
  <r>
    <x v="0"/>
    <x v="1"/>
    <x v="0"/>
    <s v="Moore"/>
    <n v="8"/>
    <n v="300"/>
    <n v="2400"/>
  </r>
  <r>
    <x v="2"/>
    <x v="6"/>
    <x v="0"/>
    <s v="Gonzalez"/>
    <n v="6"/>
    <n v="600"/>
    <n v="3600"/>
  </r>
  <r>
    <x v="3"/>
    <x v="6"/>
    <x v="0"/>
    <s v="Miller"/>
    <n v="8"/>
    <n v="600"/>
    <n v="4800"/>
  </r>
  <r>
    <x v="0"/>
    <x v="5"/>
    <x v="1"/>
    <s v="Johnson"/>
    <n v="2"/>
    <n v="120"/>
    <n v="240"/>
  </r>
  <r>
    <x v="3"/>
    <x v="0"/>
    <x v="0"/>
    <s v="Davis"/>
    <n v="2"/>
    <n v="900"/>
    <n v="1800"/>
  </r>
  <r>
    <x v="2"/>
    <x v="1"/>
    <x v="0"/>
    <s v="Jackson"/>
    <n v="6"/>
    <n v="300"/>
    <n v="1800"/>
  </r>
  <r>
    <x v="0"/>
    <x v="5"/>
    <x v="1"/>
    <s v="Rodriguez"/>
    <n v="6"/>
    <n v="120"/>
    <n v="720"/>
  </r>
  <r>
    <x v="1"/>
    <x v="6"/>
    <x v="0"/>
    <s v="Wilson"/>
    <n v="7"/>
    <n v="600"/>
    <n v="4200"/>
  </r>
  <r>
    <x v="3"/>
    <x v="7"/>
    <x v="0"/>
    <s v="Miller"/>
    <n v="7"/>
    <n v="400"/>
    <n v="2800"/>
  </r>
  <r>
    <x v="0"/>
    <x v="2"/>
    <x v="1"/>
    <s v="Wilson"/>
    <n v="3"/>
    <n v="350"/>
    <n v="1050"/>
  </r>
  <r>
    <x v="2"/>
    <x v="6"/>
    <x v="0"/>
    <s v="Johnson"/>
    <n v="4"/>
    <n v="600"/>
    <n v="2400"/>
  </r>
  <r>
    <x v="0"/>
    <x v="5"/>
    <x v="1"/>
    <s v="Smith"/>
    <n v="8"/>
    <n v="120"/>
    <n v="960"/>
  </r>
  <r>
    <x v="2"/>
    <x v="1"/>
    <x v="0"/>
    <s v="Gonzalez"/>
    <n v="2"/>
    <n v="300"/>
    <n v="600"/>
  </r>
  <r>
    <x v="0"/>
    <x v="2"/>
    <x v="1"/>
    <s v="Rodriguez"/>
    <n v="3"/>
    <n v="350"/>
    <n v="1050"/>
  </r>
  <r>
    <x v="0"/>
    <x v="3"/>
    <x v="0"/>
    <s v="Martinez"/>
    <n v="2"/>
    <n v="250"/>
    <n v="500"/>
  </r>
  <r>
    <x v="0"/>
    <x v="7"/>
    <x v="0"/>
    <s v="Martinez"/>
    <n v="8"/>
    <n v="400"/>
    <n v="3200"/>
  </r>
  <r>
    <x v="2"/>
    <x v="1"/>
    <x v="0"/>
    <s v="Hernandez"/>
    <n v="4"/>
    <n v="300"/>
    <n v="1200"/>
  </r>
  <r>
    <x v="3"/>
    <x v="7"/>
    <x v="0"/>
    <s v="Hernandez"/>
    <n v="8"/>
    <n v="400"/>
    <n v="3200"/>
  </r>
  <r>
    <x v="3"/>
    <x v="7"/>
    <x v="0"/>
    <s v="Hernandez"/>
    <n v="4"/>
    <n v="400"/>
    <n v="1600"/>
  </r>
  <r>
    <x v="3"/>
    <x v="1"/>
    <x v="0"/>
    <s v="Martin"/>
    <n v="1"/>
    <n v="300"/>
    <n v="300"/>
  </r>
  <r>
    <x v="2"/>
    <x v="3"/>
    <x v="0"/>
    <s v="Lopez"/>
    <n v="1"/>
    <n v="250"/>
    <n v="250"/>
  </r>
  <r>
    <x v="0"/>
    <x v="1"/>
    <x v="0"/>
    <s v="Martinez"/>
    <n v="3"/>
    <n v="300"/>
    <n v="900"/>
  </r>
  <r>
    <x v="3"/>
    <x v="5"/>
    <x v="1"/>
    <s v="Hernandez"/>
    <n v="2"/>
    <n v="120"/>
    <n v="240"/>
  </r>
  <r>
    <x v="1"/>
    <x v="6"/>
    <x v="0"/>
    <s v="Martinez"/>
    <n v="4"/>
    <n v="600"/>
    <n v="2400"/>
  </r>
  <r>
    <x v="0"/>
    <x v="4"/>
    <x v="1"/>
    <s v="Jackson"/>
    <n v="8"/>
    <n v="200"/>
    <n v="1600"/>
  </r>
  <r>
    <x v="0"/>
    <x v="3"/>
    <x v="0"/>
    <s v="Miller"/>
    <n v="5"/>
    <n v="250"/>
    <n v="1250"/>
  </r>
  <r>
    <x v="0"/>
    <x v="0"/>
    <x v="0"/>
    <s v="Smith"/>
    <n v="3"/>
    <n v="900"/>
    <n v="2700"/>
  </r>
  <r>
    <x v="3"/>
    <x v="5"/>
    <x v="1"/>
    <s v="Johnson"/>
    <n v="8"/>
    <n v="120"/>
    <n v="960"/>
  </r>
  <r>
    <x v="3"/>
    <x v="2"/>
    <x v="1"/>
    <s v="Lopez"/>
    <n v="8"/>
    <n v="350"/>
    <n v="2800"/>
  </r>
  <r>
    <x v="3"/>
    <x v="2"/>
    <x v="1"/>
    <s v="Martinez"/>
    <n v="3"/>
    <n v="350"/>
    <n v="1050"/>
  </r>
  <r>
    <x v="2"/>
    <x v="0"/>
    <x v="0"/>
    <s v="Taylor"/>
    <n v="2"/>
    <n v="900"/>
    <n v="1800"/>
  </r>
  <r>
    <x v="3"/>
    <x v="5"/>
    <x v="1"/>
    <s v="Garcia"/>
    <n v="6"/>
    <n v="120"/>
    <n v="720"/>
  </r>
  <r>
    <x v="2"/>
    <x v="7"/>
    <x v="0"/>
    <s v="Miller"/>
    <n v="8"/>
    <n v="400"/>
    <n v="3200"/>
  </r>
  <r>
    <x v="2"/>
    <x v="1"/>
    <x v="0"/>
    <s v="Martinez"/>
    <n v="4"/>
    <n v="300"/>
    <n v="1200"/>
  </r>
  <r>
    <x v="3"/>
    <x v="3"/>
    <x v="0"/>
    <s v="Brown"/>
    <n v="4"/>
    <n v="250"/>
    <n v="1000"/>
  </r>
  <r>
    <x v="3"/>
    <x v="4"/>
    <x v="1"/>
    <s v="Jackson"/>
    <n v="6"/>
    <n v="200"/>
    <n v="1200"/>
  </r>
  <r>
    <x v="0"/>
    <x v="7"/>
    <x v="0"/>
    <s v="Wilson"/>
    <n v="3"/>
    <n v="400"/>
    <n v="1200"/>
  </r>
  <r>
    <x v="1"/>
    <x v="2"/>
    <x v="1"/>
    <s v="Garcia"/>
    <n v="3"/>
    <n v="350"/>
    <n v="1050"/>
  </r>
  <r>
    <x v="2"/>
    <x v="2"/>
    <x v="1"/>
    <s v="Gonzalez"/>
    <n v="8"/>
    <n v="350"/>
    <n v="2800"/>
  </r>
  <r>
    <x v="0"/>
    <x v="5"/>
    <x v="1"/>
    <s v="Thomas"/>
    <n v="1"/>
    <n v="120"/>
    <n v="120"/>
  </r>
  <r>
    <x v="1"/>
    <x v="5"/>
    <x v="1"/>
    <s v="Miller"/>
    <n v="1"/>
    <n v="120"/>
    <n v="120"/>
  </r>
  <r>
    <x v="1"/>
    <x v="3"/>
    <x v="0"/>
    <s v="Lopez"/>
    <n v="1"/>
    <n v="250"/>
    <n v="250"/>
  </r>
  <r>
    <x v="2"/>
    <x v="6"/>
    <x v="0"/>
    <s v="Brown"/>
    <n v="5"/>
    <n v="600"/>
    <n v="3000"/>
  </r>
  <r>
    <x v="0"/>
    <x v="4"/>
    <x v="1"/>
    <s v="Anderson"/>
    <n v="8"/>
    <n v="200"/>
    <n v="1600"/>
  </r>
  <r>
    <x v="0"/>
    <x v="0"/>
    <x v="0"/>
    <s v="Miller"/>
    <n v="3"/>
    <n v="900"/>
    <n v="2700"/>
  </r>
  <r>
    <x v="3"/>
    <x v="2"/>
    <x v="1"/>
    <s v="Jones"/>
    <n v="7"/>
    <n v="350"/>
    <n v="2450"/>
  </r>
  <r>
    <x v="0"/>
    <x v="4"/>
    <x v="1"/>
    <s v="Jones"/>
    <n v="3"/>
    <n v="200"/>
    <n v="600"/>
  </r>
  <r>
    <x v="3"/>
    <x v="5"/>
    <x v="1"/>
    <s v="Williams"/>
    <n v="4"/>
    <n v="120"/>
    <n v="480"/>
  </r>
  <r>
    <x v="0"/>
    <x v="0"/>
    <x v="0"/>
    <s v="Martin"/>
    <n v="3"/>
    <n v="900"/>
    <n v="2700"/>
  </r>
  <r>
    <x v="2"/>
    <x v="0"/>
    <x v="0"/>
    <s v="Miller"/>
    <n v="2"/>
    <n v="900"/>
    <n v="1800"/>
  </r>
  <r>
    <x v="0"/>
    <x v="5"/>
    <x v="1"/>
    <s v="Davis"/>
    <n v="8"/>
    <n v="120"/>
    <n v="960"/>
  </r>
  <r>
    <x v="1"/>
    <x v="4"/>
    <x v="1"/>
    <s v="Gonzalez"/>
    <n v="5"/>
    <n v="200"/>
    <n v="1000"/>
  </r>
  <r>
    <x v="3"/>
    <x v="4"/>
    <x v="1"/>
    <s v="Smith"/>
    <n v="3"/>
    <n v="200"/>
    <n v="600"/>
  </r>
  <r>
    <x v="3"/>
    <x v="1"/>
    <x v="0"/>
    <s v="Wilson"/>
    <n v="8"/>
    <n v="300"/>
    <n v="2400"/>
  </r>
  <r>
    <x v="1"/>
    <x v="0"/>
    <x v="0"/>
    <s v="Davis"/>
    <n v="8"/>
    <n v="900"/>
    <n v="7200"/>
  </r>
  <r>
    <x v="3"/>
    <x v="1"/>
    <x v="0"/>
    <s v="Johnson"/>
    <n v="4"/>
    <n v="300"/>
    <n v="1200"/>
  </r>
  <r>
    <x v="3"/>
    <x v="0"/>
    <x v="0"/>
    <s v="Jackson"/>
    <n v="4"/>
    <n v="900"/>
    <n v="3600"/>
  </r>
  <r>
    <x v="0"/>
    <x v="3"/>
    <x v="0"/>
    <s v="Thomas"/>
    <n v="4"/>
    <n v="250"/>
    <n v="1000"/>
  </r>
  <r>
    <x v="2"/>
    <x v="6"/>
    <x v="0"/>
    <s v="Taylor"/>
    <n v="8"/>
    <n v="600"/>
    <n v="4800"/>
  </r>
  <r>
    <x v="3"/>
    <x v="2"/>
    <x v="1"/>
    <s v="Lopez"/>
    <n v="7"/>
    <n v="350"/>
    <n v="2450"/>
  </r>
  <r>
    <x v="0"/>
    <x v="4"/>
    <x v="1"/>
    <s v="Jones"/>
    <n v="5"/>
    <n v="200"/>
    <n v="1000"/>
  </r>
  <r>
    <x v="2"/>
    <x v="1"/>
    <x v="0"/>
    <s v="Jackson"/>
    <n v="7"/>
    <n v="300"/>
    <n v="2100"/>
  </r>
  <r>
    <x v="3"/>
    <x v="3"/>
    <x v="0"/>
    <s v="Martin"/>
    <n v="8"/>
    <n v="250"/>
    <n v="2000"/>
  </r>
  <r>
    <x v="3"/>
    <x v="6"/>
    <x v="0"/>
    <s v="Gonzalez"/>
    <n v="8"/>
    <n v="600"/>
    <n v="4800"/>
  </r>
  <r>
    <x v="2"/>
    <x v="1"/>
    <x v="0"/>
    <s v="Davis"/>
    <n v="2"/>
    <n v="300"/>
    <n v="600"/>
  </r>
  <r>
    <x v="1"/>
    <x v="5"/>
    <x v="1"/>
    <s v="Moore"/>
    <n v="2"/>
    <n v="120"/>
    <n v="240"/>
  </r>
  <r>
    <x v="1"/>
    <x v="3"/>
    <x v="0"/>
    <s v="Garcia"/>
    <n v="8"/>
    <n v="250"/>
    <n v="2000"/>
  </r>
  <r>
    <x v="1"/>
    <x v="2"/>
    <x v="1"/>
    <s v="Thomas"/>
    <n v="4"/>
    <n v="350"/>
    <n v="1400"/>
  </r>
  <r>
    <x v="2"/>
    <x v="3"/>
    <x v="0"/>
    <s v="Garcia"/>
    <n v="4"/>
    <n v="250"/>
    <n v="1000"/>
  </r>
  <r>
    <x v="3"/>
    <x v="2"/>
    <x v="1"/>
    <s v="Martinez"/>
    <n v="7"/>
    <n v="350"/>
    <n v="2450"/>
  </r>
  <r>
    <x v="0"/>
    <x v="2"/>
    <x v="1"/>
    <s v="Davis"/>
    <n v="1"/>
    <n v="350"/>
    <n v="3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815C4-FA15-4502-99A6-3D75DE9961A5}" name="PivotTable3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48:F151" firstHeaderRow="1" firstDataRow="1" firstDataCol="1"/>
  <pivotFields count="7">
    <pivotField showAll="0">
      <items count="5">
        <item x="1"/>
        <item x="3"/>
        <item x="0"/>
        <item x="2"/>
        <item t="default"/>
      </items>
    </pivotField>
    <pivotField showAll="0">
      <items count="9">
        <item x="4"/>
        <item x="5"/>
        <item x="2"/>
        <item x="0"/>
        <item x="1"/>
        <item x="6"/>
        <item x="3"/>
        <item x="7"/>
        <item t="default"/>
      </items>
    </pivotField>
    <pivotField axis="axisRow" showAll="0">
      <items count="3">
        <item x="1"/>
        <item x="0"/>
        <item t="default"/>
      </items>
    </pivotField>
    <pivotField showAll="0"/>
    <pivotField showAll="0"/>
    <pivotField showAll="0"/>
    <pivotField dataField="1" showAll="0"/>
  </pivotFields>
  <rowFields count="1">
    <field x="2"/>
  </rowFields>
  <rowItems count="3">
    <i>
      <x/>
    </i>
    <i>
      <x v="1"/>
    </i>
    <i t="grand">
      <x/>
    </i>
  </rowItems>
  <colItems count="1">
    <i/>
  </colItems>
  <dataFields count="1">
    <dataField name="Sum of Total Sales" fld="6"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83"/>
  <sheetViews>
    <sheetView tabSelected="1" workbookViewId="0">
      <pane ySplit="1" topLeftCell="A33" activePane="bottomLeft" state="frozen"/>
      <selection pane="bottomLeft" activeCell="H136" sqref="H136"/>
    </sheetView>
  </sheetViews>
  <sheetFormatPr defaultRowHeight="14.5" x14ac:dyDescent="0.35"/>
  <cols>
    <col min="1" max="1" width="8.7265625" customWidth="1"/>
    <col min="2" max="2" width="28.26953125" customWidth="1"/>
    <col min="3" max="3" width="26.453125" customWidth="1"/>
    <col min="4" max="5" width="12.36328125" bestFit="1" customWidth="1"/>
    <col min="6" max="6" width="16.08984375" bestFit="1" customWidth="1"/>
    <col min="7" max="7" width="15.26953125" bestFit="1" customWidth="1"/>
    <col min="8" max="8" width="10.7265625" bestFit="1" customWidth="1"/>
    <col min="9" max="9" width="36.90625" customWidth="1"/>
    <col min="10" max="10" width="11.7265625" customWidth="1"/>
    <col min="11" max="19" width="3.81640625" bestFit="1" customWidth="1"/>
    <col min="20" max="41" width="4.81640625" bestFit="1" customWidth="1"/>
    <col min="42" max="43" width="10.7265625" bestFit="1" customWidth="1"/>
  </cols>
  <sheetData>
    <row r="1" spans="1:9" x14ac:dyDescent="0.35">
      <c r="A1" t="s">
        <v>0</v>
      </c>
      <c r="B1" t="s">
        <v>1</v>
      </c>
      <c r="C1" t="s">
        <v>2</v>
      </c>
      <c r="D1" t="s">
        <v>3</v>
      </c>
      <c r="E1" t="s">
        <v>4</v>
      </c>
      <c r="F1" t="s">
        <v>5</v>
      </c>
      <c r="G1" t="s">
        <v>6</v>
      </c>
      <c r="H1" t="s">
        <v>7</v>
      </c>
      <c r="I1" t="s">
        <v>8</v>
      </c>
    </row>
    <row r="2" spans="1:9" hidden="1" x14ac:dyDescent="0.35">
      <c r="A2">
        <v>1001</v>
      </c>
      <c r="B2" t="s">
        <v>9</v>
      </c>
      <c r="C2" t="s">
        <v>10</v>
      </c>
      <c r="D2" t="s">
        <v>11</v>
      </c>
      <c r="E2" t="s">
        <v>12</v>
      </c>
      <c r="F2" t="s">
        <v>13</v>
      </c>
      <c r="G2">
        <v>2</v>
      </c>
      <c r="H2">
        <v>900</v>
      </c>
      <c r="I2">
        <f>G2*H2</f>
        <v>1800</v>
      </c>
    </row>
    <row r="3" spans="1:9" hidden="1" x14ac:dyDescent="0.35">
      <c r="A3">
        <v>1002</v>
      </c>
      <c r="B3" t="s">
        <v>14</v>
      </c>
      <c r="C3" t="s">
        <v>15</v>
      </c>
      <c r="D3" t="s">
        <v>16</v>
      </c>
      <c r="E3" t="s">
        <v>12</v>
      </c>
      <c r="F3" t="s">
        <v>17</v>
      </c>
      <c r="G3">
        <v>8</v>
      </c>
      <c r="H3">
        <v>300</v>
      </c>
      <c r="I3">
        <f t="shared" ref="I3:I66" si="0">G3*H3</f>
        <v>2400</v>
      </c>
    </row>
    <row r="4" spans="1:9" hidden="1" x14ac:dyDescent="0.35">
      <c r="A4">
        <v>1003</v>
      </c>
      <c r="B4" t="s">
        <v>18</v>
      </c>
      <c r="C4" t="s">
        <v>15</v>
      </c>
      <c r="D4" t="s">
        <v>19</v>
      </c>
      <c r="E4" t="s">
        <v>20</v>
      </c>
      <c r="F4" t="s">
        <v>21</v>
      </c>
      <c r="G4">
        <v>6</v>
      </c>
      <c r="H4">
        <v>350</v>
      </c>
      <c r="I4">
        <f t="shared" si="0"/>
        <v>2100</v>
      </c>
    </row>
    <row r="5" spans="1:9" hidden="1" x14ac:dyDescent="0.35">
      <c r="A5">
        <v>1004</v>
      </c>
      <c r="B5" t="s">
        <v>22</v>
      </c>
      <c r="C5" t="s">
        <v>10</v>
      </c>
      <c r="D5" t="s">
        <v>19</v>
      </c>
      <c r="E5" t="s">
        <v>20</v>
      </c>
      <c r="F5" t="s">
        <v>23</v>
      </c>
      <c r="G5">
        <v>2</v>
      </c>
      <c r="H5">
        <v>350</v>
      </c>
      <c r="I5">
        <f t="shared" si="0"/>
        <v>700</v>
      </c>
    </row>
    <row r="6" spans="1:9" hidden="1" x14ac:dyDescent="0.35">
      <c r="A6">
        <v>1005</v>
      </c>
      <c r="B6" t="s">
        <v>24</v>
      </c>
      <c r="C6" t="s">
        <v>25</v>
      </c>
      <c r="D6" t="s">
        <v>26</v>
      </c>
      <c r="E6" t="s">
        <v>12</v>
      </c>
      <c r="F6" t="s">
        <v>27</v>
      </c>
      <c r="G6">
        <v>5</v>
      </c>
      <c r="H6">
        <v>250</v>
      </c>
      <c r="I6">
        <f t="shared" si="0"/>
        <v>1250</v>
      </c>
    </row>
    <row r="7" spans="1:9" hidden="1" x14ac:dyDescent="0.35">
      <c r="A7">
        <v>1006</v>
      </c>
      <c r="B7" t="s">
        <v>28</v>
      </c>
      <c r="C7" t="s">
        <v>29</v>
      </c>
      <c r="D7" t="s">
        <v>30</v>
      </c>
      <c r="E7" t="s">
        <v>20</v>
      </c>
      <c r="F7" t="s">
        <v>21</v>
      </c>
      <c r="G7">
        <v>1</v>
      </c>
      <c r="H7">
        <v>200</v>
      </c>
      <c r="I7">
        <f t="shared" si="0"/>
        <v>200</v>
      </c>
    </row>
    <row r="8" spans="1:9" hidden="1" x14ac:dyDescent="0.35">
      <c r="A8">
        <v>1007</v>
      </c>
      <c r="B8" t="s">
        <v>31</v>
      </c>
      <c r="C8" t="s">
        <v>15</v>
      </c>
      <c r="D8" t="s">
        <v>30</v>
      </c>
      <c r="E8" t="s">
        <v>20</v>
      </c>
      <c r="F8" t="s">
        <v>32</v>
      </c>
      <c r="G8">
        <v>7</v>
      </c>
      <c r="H8">
        <v>200</v>
      </c>
      <c r="I8">
        <f t="shared" si="0"/>
        <v>1400</v>
      </c>
    </row>
    <row r="9" spans="1:9" hidden="1" x14ac:dyDescent="0.35">
      <c r="A9">
        <v>1008</v>
      </c>
      <c r="B9" t="s">
        <v>33</v>
      </c>
      <c r="C9" t="s">
        <v>10</v>
      </c>
      <c r="D9" t="s">
        <v>30</v>
      </c>
      <c r="E9" t="s">
        <v>20</v>
      </c>
      <c r="F9" t="s">
        <v>23</v>
      </c>
      <c r="G9">
        <v>5</v>
      </c>
      <c r="H9">
        <v>200</v>
      </c>
      <c r="I9">
        <f t="shared" si="0"/>
        <v>1000</v>
      </c>
    </row>
    <row r="10" spans="1:9" x14ac:dyDescent="0.35">
      <c r="A10">
        <v>1009</v>
      </c>
      <c r="B10" t="s">
        <v>34</v>
      </c>
      <c r="C10" t="s">
        <v>25</v>
      </c>
      <c r="D10" t="s">
        <v>35</v>
      </c>
      <c r="E10" t="s">
        <v>20</v>
      </c>
      <c r="F10" t="s">
        <v>27</v>
      </c>
      <c r="G10">
        <v>5</v>
      </c>
      <c r="H10">
        <v>120</v>
      </c>
      <c r="I10">
        <f t="shared" si="0"/>
        <v>600</v>
      </c>
    </row>
    <row r="11" spans="1:9" hidden="1" x14ac:dyDescent="0.35">
      <c r="A11">
        <v>1010</v>
      </c>
      <c r="B11" t="s">
        <v>36</v>
      </c>
      <c r="C11" t="s">
        <v>25</v>
      </c>
      <c r="D11" t="s">
        <v>16</v>
      </c>
      <c r="E11" t="s">
        <v>12</v>
      </c>
      <c r="F11" t="s">
        <v>17</v>
      </c>
      <c r="G11">
        <v>7</v>
      </c>
      <c r="H11">
        <v>300</v>
      </c>
      <c r="I11">
        <f t="shared" si="0"/>
        <v>2100</v>
      </c>
    </row>
    <row r="12" spans="1:9" hidden="1" x14ac:dyDescent="0.35">
      <c r="A12">
        <v>1011</v>
      </c>
      <c r="B12" t="s">
        <v>37</v>
      </c>
      <c r="C12" t="s">
        <v>10</v>
      </c>
      <c r="D12" t="s">
        <v>11</v>
      </c>
      <c r="E12" t="s">
        <v>12</v>
      </c>
      <c r="F12" t="s">
        <v>38</v>
      </c>
      <c r="G12">
        <v>1</v>
      </c>
      <c r="H12">
        <v>900</v>
      </c>
      <c r="I12">
        <f t="shared" si="0"/>
        <v>900</v>
      </c>
    </row>
    <row r="13" spans="1:9" hidden="1" x14ac:dyDescent="0.35">
      <c r="A13">
        <v>1012</v>
      </c>
      <c r="B13" t="s">
        <v>39</v>
      </c>
      <c r="C13" t="s">
        <v>10</v>
      </c>
      <c r="D13" t="s">
        <v>11</v>
      </c>
      <c r="E13" t="s">
        <v>12</v>
      </c>
      <c r="F13" t="s">
        <v>40</v>
      </c>
      <c r="G13">
        <v>7</v>
      </c>
      <c r="H13">
        <v>900</v>
      </c>
      <c r="I13">
        <f t="shared" si="0"/>
        <v>6300</v>
      </c>
    </row>
    <row r="14" spans="1:9" hidden="1" x14ac:dyDescent="0.35">
      <c r="A14">
        <v>1013</v>
      </c>
      <c r="B14" t="s">
        <v>41</v>
      </c>
      <c r="C14" t="s">
        <v>15</v>
      </c>
      <c r="D14" t="s">
        <v>11</v>
      </c>
      <c r="E14" t="s">
        <v>12</v>
      </c>
      <c r="F14" t="s">
        <v>42</v>
      </c>
      <c r="G14">
        <v>7</v>
      </c>
      <c r="H14">
        <v>900</v>
      </c>
      <c r="I14">
        <f t="shared" si="0"/>
        <v>6300</v>
      </c>
    </row>
    <row r="15" spans="1:9" hidden="1" x14ac:dyDescent="0.35">
      <c r="A15">
        <v>1014</v>
      </c>
      <c r="B15" t="s">
        <v>43</v>
      </c>
      <c r="C15" t="s">
        <v>29</v>
      </c>
      <c r="D15" t="s">
        <v>30</v>
      </c>
      <c r="E15" t="s">
        <v>20</v>
      </c>
      <c r="F15" t="s">
        <v>44</v>
      </c>
      <c r="G15">
        <v>6</v>
      </c>
      <c r="H15">
        <v>200</v>
      </c>
      <c r="I15">
        <f t="shared" si="0"/>
        <v>1200</v>
      </c>
    </row>
    <row r="16" spans="1:9" hidden="1" x14ac:dyDescent="0.35">
      <c r="A16">
        <v>1015</v>
      </c>
      <c r="B16" t="s">
        <v>45</v>
      </c>
      <c r="C16" t="s">
        <v>10</v>
      </c>
      <c r="D16" t="s">
        <v>16</v>
      </c>
      <c r="E16" t="s">
        <v>12</v>
      </c>
      <c r="F16" t="s">
        <v>23</v>
      </c>
      <c r="G16">
        <v>7</v>
      </c>
      <c r="H16">
        <v>300</v>
      </c>
      <c r="I16">
        <f t="shared" si="0"/>
        <v>2100</v>
      </c>
    </row>
    <row r="17" spans="1:9" hidden="1" x14ac:dyDescent="0.35">
      <c r="A17">
        <v>1016</v>
      </c>
      <c r="B17" t="s">
        <v>24</v>
      </c>
      <c r="C17" t="s">
        <v>29</v>
      </c>
      <c r="D17" t="s">
        <v>11</v>
      </c>
      <c r="E17" t="s">
        <v>12</v>
      </c>
      <c r="F17" t="s">
        <v>46</v>
      </c>
      <c r="G17">
        <v>5</v>
      </c>
      <c r="H17">
        <v>900</v>
      </c>
      <c r="I17">
        <f t="shared" si="0"/>
        <v>4500</v>
      </c>
    </row>
    <row r="18" spans="1:9" hidden="1" x14ac:dyDescent="0.35">
      <c r="A18">
        <v>1017</v>
      </c>
      <c r="B18" t="s">
        <v>47</v>
      </c>
      <c r="C18" t="s">
        <v>25</v>
      </c>
      <c r="D18" t="s">
        <v>48</v>
      </c>
      <c r="E18" t="s">
        <v>12</v>
      </c>
      <c r="F18" t="s">
        <v>49</v>
      </c>
      <c r="G18">
        <v>2</v>
      </c>
      <c r="H18">
        <v>600</v>
      </c>
      <c r="I18">
        <f t="shared" si="0"/>
        <v>1200</v>
      </c>
    </row>
    <row r="19" spans="1:9" hidden="1" x14ac:dyDescent="0.35">
      <c r="A19">
        <v>1018</v>
      </c>
      <c r="B19" t="s">
        <v>50</v>
      </c>
      <c r="C19" t="s">
        <v>25</v>
      </c>
      <c r="D19" t="s">
        <v>48</v>
      </c>
      <c r="E19" t="s">
        <v>12</v>
      </c>
      <c r="F19" t="s">
        <v>23</v>
      </c>
      <c r="G19">
        <v>4</v>
      </c>
      <c r="H19">
        <v>600</v>
      </c>
      <c r="I19">
        <f t="shared" si="0"/>
        <v>2400</v>
      </c>
    </row>
    <row r="20" spans="1:9" hidden="1" x14ac:dyDescent="0.35">
      <c r="A20">
        <v>1019</v>
      </c>
      <c r="B20" t="s">
        <v>51</v>
      </c>
      <c r="C20" t="s">
        <v>29</v>
      </c>
      <c r="D20" t="s">
        <v>16</v>
      </c>
      <c r="E20" t="s">
        <v>12</v>
      </c>
      <c r="F20" t="s">
        <v>23</v>
      </c>
      <c r="G20">
        <v>3</v>
      </c>
      <c r="H20">
        <v>300</v>
      </c>
      <c r="I20">
        <f t="shared" si="0"/>
        <v>900</v>
      </c>
    </row>
    <row r="21" spans="1:9" hidden="1" x14ac:dyDescent="0.35">
      <c r="A21">
        <v>1020</v>
      </c>
      <c r="B21" t="s">
        <v>43</v>
      </c>
      <c r="C21" t="s">
        <v>15</v>
      </c>
      <c r="D21" t="s">
        <v>48</v>
      </c>
      <c r="E21" t="s">
        <v>12</v>
      </c>
      <c r="F21" t="s">
        <v>38</v>
      </c>
      <c r="G21">
        <v>2</v>
      </c>
      <c r="H21">
        <v>600</v>
      </c>
      <c r="I21">
        <f t="shared" si="0"/>
        <v>1200</v>
      </c>
    </row>
    <row r="22" spans="1:9" x14ac:dyDescent="0.35">
      <c r="A22">
        <v>1021</v>
      </c>
      <c r="B22" t="s">
        <v>52</v>
      </c>
      <c r="C22" t="s">
        <v>25</v>
      </c>
      <c r="D22" t="s">
        <v>35</v>
      </c>
      <c r="E22" t="s">
        <v>20</v>
      </c>
      <c r="F22" t="s">
        <v>53</v>
      </c>
      <c r="G22">
        <v>3</v>
      </c>
      <c r="H22">
        <v>120</v>
      </c>
      <c r="I22">
        <f t="shared" si="0"/>
        <v>360</v>
      </c>
    </row>
    <row r="23" spans="1:9" hidden="1" x14ac:dyDescent="0.35">
      <c r="A23">
        <v>1022</v>
      </c>
      <c r="B23" t="s">
        <v>54</v>
      </c>
      <c r="C23" t="s">
        <v>15</v>
      </c>
      <c r="D23" t="s">
        <v>30</v>
      </c>
      <c r="E23" t="s">
        <v>20</v>
      </c>
      <c r="F23" t="s">
        <v>17</v>
      </c>
      <c r="G23">
        <v>7</v>
      </c>
      <c r="H23">
        <v>200</v>
      </c>
      <c r="I23">
        <f t="shared" si="0"/>
        <v>1400</v>
      </c>
    </row>
    <row r="24" spans="1:9" hidden="1" x14ac:dyDescent="0.35">
      <c r="A24">
        <v>1023</v>
      </c>
      <c r="B24" t="s">
        <v>55</v>
      </c>
      <c r="C24" t="s">
        <v>10</v>
      </c>
      <c r="D24" t="s">
        <v>19</v>
      </c>
      <c r="E24" t="s">
        <v>20</v>
      </c>
      <c r="F24" t="s">
        <v>32</v>
      </c>
      <c r="G24">
        <v>8</v>
      </c>
      <c r="H24">
        <v>350</v>
      </c>
      <c r="I24">
        <f t="shared" si="0"/>
        <v>2800</v>
      </c>
    </row>
    <row r="25" spans="1:9" hidden="1" x14ac:dyDescent="0.35">
      <c r="A25">
        <v>1024</v>
      </c>
      <c r="B25" t="s">
        <v>55</v>
      </c>
      <c r="C25" t="s">
        <v>15</v>
      </c>
      <c r="D25" t="s">
        <v>26</v>
      </c>
      <c r="E25" t="s">
        <v>12</v>
      </c>
      <c r="F25" t="s">
        <v>56</v>
      </c>
      <c r="G25">
        <v>4</v>
      </c>
      <c r="H25">
        <v>250</v>
      </c>
      <c r="I25">
        <f t="shared" si="0"/>
        <v>1000</v>
      </c>
    </row>
    <row r="26" spans="1:9" hidden="1" x14ac:dyDescent="0.35">
      <c r="A26">
        <v>1025</v>
      </c>
      <c r="B26" t="s">
        <v>45</v>
      </c>
      <c r="C26" t="s">
        <v>25</v>
      </c>
      <c r="D26" t="s">
        <v>48</v>
      </c>
      <c r="E26" t="s">
        <v>12</v>
      </c>
      <c r="F26" t="s">
        <v>56</v>
      </c>
      <c r="G26">
        <v>7</v>
      </c>
      <c r="H26">
        <v>600</v>
      </c>
      <c r="I26">
        <f t="shared" si="0"/>
        <v>4200</v>
      </c>
    </row>
    <row r="27" spans="1:9" x14ac:dyDescent="0.35">
      <c r="A27">
        <v>1026</v>
      </c>
      <c r="B27" t="s">
        <v>57</v>
      </c>
      <c r="C27" t="s">
        <v>25</v>
      </c>
      <c r="D27" t="s">
        <v>30</v>
      </c>
      <c r="E27" t="s">
        <v>20</v>
      </c>
      <c r="F27" t="s">
        <v>40</v>
      </c>
      <c r="G27">
        <v>3</v>
      </c>
      <c r="H27">
        <v>200</v>
      </c>
      <c r="I27">
        <f t="shared" si="0"/>
        <v>600</v>
      </c>
    </row>
    <row r="28" spans="1:9" hidden="1" x14ac:dyDescent="0.35">
      <c r="A28">
        <v>1027</v>
      </c>
      <c r="B28" t="s">
        <v>58</v>
      </c>
      <c r="C28" t="s">
        <v>15</v>
      </c>
      <c r="D28" t="s">
        <v>59</v>
      </c>
      <c r="E28" t="s">
        <v>12</v>
      </c>
      <c r="F28" t="s">
        <v>56</v>
      </c>
      <c r="G28">
        <v>7</v>
      </c>
      <c r="H28">
        <v>400</v>
      </c>
      <c r="I28">
        <f t="shared" si="0"/>
        <v>2800</v>
      </c>
    </row>
    <row r="29" spans="1:9" hidden="1" x14ac:dyDescent="0.35">
      <c r="A29">
        <v>1028</v>
      </c>
      <c r="B29" t="s">
        <v>60</v>
      </c>
      <c r="C29" t="s">
        <v>29</v>
      </c>
      <c r="D29" t="s">
        <v>35</v>
      </c>
      <c r="E29" t="s">
        <v>20</v>
      </c>
      <c r="F29" t="s">
        <v>40</v>
      </c>
      <c r="G29">
        <v>2</v>
      </c>
      <c r="H29">
        <v>120</v>
      </c>
      <c r="I29">
        <f t="shared" si="0"/>
        <v>240</v>
      </c>
    </row>
    <row r="30" spans="1:9" hidden="1" x14ac:dyDescent="0.35">
      <c r="A30">
        <v>1029</v>
      </c>
      <c r="B30" t="s">
        <v>61</v>
      </c>
      <c r="C30" t="s">
        <v>10</v>
      </c>
      <c r="D30" t="s">
        <v>59</v>
      </c>
      <c r="E30" t="s">
        <v>12</v>
      </c>
      <c r="F30" t="s">
        <v>42</v>
      </c>
      <c r="G30">
        <v>7</v>
      </c>
      <c r="H30">
        <v>400</v>
      </c>
      <c r="I30">
        <f t="shared" si="0"/>
        <v>2800</v>
      </c>
    </row>
    <row r="31" spans="1:9" hidden="1" x14ac:dyDescent="0.35">
      <c r="A31">
        <v>1030</v>
      </c>
      <c r="B31" t="s">
        <v>62</v>
      </c>
      <c r="C31" t="s">
        <v>29</v>
      </c>
      <c r="D31" t="s">
        <v>26</v>
      </c>
      <c r="E31" t="s">
        <v>12</v>
      </c>
      <c r="F31" t="s">
        <v>32</v>
      </c>
      <c r="G31">
        <v>8</v>
      </c>
      <c r="H31">
        <v>250</v>
      </c>
      <c r="I31">
        <f t="shared" si="0"/>
        <v>2000</v>
      </c>
    </row>
    <row r="32" spans="1:9" hidden="1" x14ac:dyDescent="0.35">
      <c r="A32">
        <v>1031</v>
      </c>
      <c r="B32" t="s">
        <v>63</v>
      </c>
      <c r="C32" t="s">
        <v>15</v>
      </c>
      <c r="D32" t="s">
        <v>16</v>
      </c>
      <c r="E32" t="s">
        <v>12</v>
      </c>
      <c r="F32" t="s">
        <v>64</v>
      </c>
      <c r="G32">
        <v>3</v>
      </c>
      <c r="H32">
        <v>300</v>
      </c>
      <c r="I32">
        <f t="shared" si="0"/>
        <v>900</v>
      </c>
    </row>
    <row r="33" spans="1:9" x14ac:dyDescent="0.35">
      <c r="A33">
        <v>1032</v>
      </c>
      <c r="B33" t="s">
        <v>65</v>
      </c>
      <c r="C33" t="s">
        <v>25</v>
      </c>
      <c r="D33" t="s">
        <v>30</v>
      </c>
      <c r="E33" t="s">
        <v>20</v>
      </c>
      <c r="F33" t="s">
        <v>53</v>
      </c>
      <c r="G33">
        <v>6</v>
      </c>
      <c r="H33">
        <v>200</v>
      </c>
      <c r="I33">
        <f t="shared" si="0"/>
        <v>1200</v>
      </c>
    </row>
    <row r="34" spans="1:9" x14ac:dyDescent="0.35">
      <c r="A34">
        <v>1033</v>
      </c>
      <c r="B34" t="s">
        <v>66</v>
      </c>
      <c r="C34" t="s">
        <v>25</v>
      </c>
      <c r="D34" t="s">
        <v>30</v>
      </c>
      <c r="E34" t="s">
        <v>20</v>
      </c>
      <c r="F34" t="s">
        <v>67</v>
      </c>
      <c r="G34">
        <v>2</v>
      </c>
      <c r="H34">
        <v>200</v>
      </c>
      <c r="I34">
        <f t="shared" si="0"/>
        <v>400</v>
      </c>
    </row>
    <row r="35" spans="1:9" hidden="1" x14ac:dyDescent="0.35">
      <c r="A35">
        <v>1034</v>
      </c>
      <c r="B35" t="s">
        <v>68</v>
      </c>
      <c r="C35" t="s">
        <v>25</v>
      </c>
      <c r="D35" t="s">
        <v>11</v>
      </c>
      <c r="E35" t="s">
        <v>12</v>
      </c>
      <c r="F35" t="s">
        <v>23</v>
      </c>
      <c r="G35">
        <v>6</v>
      </c>
      <c r="H35">
        <v>900</v>
      </c>
      <c r="I35">
        <f t="shared" si="0"/>
        <v>5400</v>
      </c>
    </row>
    <row r="36" spans="1:9" hidden="1" x14ac:dyDescent="0.35">
      <c r="A36">
        <v>1035</v>
      </c>
      <c r="B36" t="s">
        <v>69</v>
      </c>
      <c r="C36" t="s">
        <v>10</v>
      </c>
      <c r="D36" t="s">
        <v>11</v>
      </c>
      <c r="E36" t="s">
        <v>12</v>
      </c>
      <c r="F36" t="s">
        <v>42</v>
      </c>
      <c r="G36">
        <v>6</v>
      </c>
      <c r="H36">
        <v>900</v>
      </c>
      <c r="I36">
        <f t="shared" si="0"/>
        <v>5400</v>
      </c>
    </row>
    <row r="37" spans="1:9" hidden="1" x14ac:dyDescent="0.35">
      <c r="A37">
        <v>1036</v>
      </c>
      <c r="B37" t="s">
        <v>70</v>
      </c>
      <c r="C37" t="s">
        <v>15</v>
      </c>
      <c r="D37" t="s">
        <v>26</v>
      </c>
      <c r="E37" t="s">
        <v>12</v>
      </c>
      <c r="F37" t="s">
        <v>56</v>
      </c>
      <c r="G37">
        <v>8</v>
      </c>
      <c r="H37">
        <v>250</v>
      </c>
      <c r="I37">
        <f t="shared" si="0"/>
        <v>2000</v>
      </c>
    </row>
    <row r="38" spans="1:9" hidden="1" x14ac:dyDescent="0.35">
      <c r="A38">
        <v>1037</v>
      </c>
      <c r="B38" t="s">
        <v>71</v>
      </c>
      <c r="C38" t="s">
        <v>29</v>
      </c>
      <c r="D38" t="s">
        <v>26</v>
      </c>
      <c r="E38" t="s">
        <v>12</v>
      </c>
      <c r="F38" t="s">
        <v>32</v>
      </c>
      <c r="G38">
        <v>3</v>
      </c>
      <c r="H38">
        <v>250</v>
      </c>
      <c r="I38">
        <f t="shared" si="0"/>
        <v>750</v>
      </c>
    </row>
    <row r="39" spans="1:9" hidden="1" x14ac:dyDescent="0.35">
      <c r="A39">
        <v>1038</v>
      </c>
      <c r="B39" t="s">
        <v>50</v>
      </c>
      <c r="C39" t="s">
        <v>10</v>
      </c>
      <c r="D39" t="s">
        <v>16</v>
      </c>
      <c r="E39" t="s">
        <v>12</v>
      </c>
      <c r="F39" t="s">
        <v>72</v>
      </c>
      <c r="G39">
        <v>2</v>
      </c>
      <c r="H39">
        <v>300</v>
      </c>
      <c r="I39">
        <f t="shared" si="0"/>
        <v>600</v>
      </c>
    </row>
    <row r="40" spans="1:9" hidden="1" x14ac:dyDescent="0.35">
      <c r="A40">
        <v>1039</v>
      </c>
      <c r="B40" t="s">
        <v>68</v>
      </c>
      <c r="C40" t="s">
        <v>15</v>
      </c>
      <c r="D40" t="s">
        <v>19</v>
      </c>
      <c r="E40" t="s">
        <v>20</v>
      </c>
      <c r="F40" t="s">
        <v>67</v>
      </c>
      <c r="G40">
        <v>8</v>
      </c>
      <c r="H40">
        <v>350</v>
      </c>
      <c r="I40">
        <f t="shared" si="0"/>
        <v>2800</v>
      </c>
    </row>
    <row r="41" spans="1:9" hidden="1" x14ac:dyDescent="0.35">
      <c r="A41">
        <v>1040</v>
      </c>
      <c r="B41" t="s">
        <v>73</v>
      </c>
      <c r="C41" t="s">
        <v>25</v>
      </c>
      <c r="D41" t="s">
        <v>26</v>
      </c>
      <c r="E41" t="s">
        <v>12</v>
      </c>
      <c r="F41" t="s">
        <v>32</v>
      </c>
      <c r="G41">
        <v>2</v>
      </c>
      <c r="H41">
        <v>250</v>
      </c>
      <c r="I41">
        <f t="shared" si="0"/>
        <v>500</v>
      </c>
    </row>
    <row r="42" spans="1:9" hidden="1" x14ac:dyDescent="0.35">
      <c r="A42">
        <v>1041</v>
      </c>
      <c r="B42" t="s">
        <v>74</v>
      </c>
      <c r="C42" t="s">
        <v>25</v>
      </c>
      <c r="D42" t="s">
        <v>48</v>
      </c>
      <c r="E42" t="s">
        <v>12</v>
      </c>
      <c r="F42" t="s">
        <v>75</v>
      </c>
      <c r="G42">
        <v>7</v>
      </c>
      <c r="H42">
        <v>600</v>
      </c>
      <c r="I42">
        <f t="shared" si="0"/>
        <v>4200</v>
      </c>
    </row>
    <row r="43" spans="1:9" hidden="1" x14ac:dyDescent="0.35">
      <c r="A43">
        <v>1042</v>
      </c>
      <c r="B43" t="s">
        <v>24</v>
      </c>
      <c r="C43" t="s">
        <v>10</v>
      </c>
      <c r="D43" t="s">
        <v>26</v>
      </c>
      <c r="E43" t="s">
        <v>12</v>
      </c>
      <c r="F43" t="s">
        <v>23</v>
      </c>
      <c r="G43">
        <v>5</v>
      </c>
      <c r="H43">
        <v>250</v>
      </c>
      <c r="I43">
        <f t="shared" si="0"/>
        <v>1250</v>
      </c>
    </row>
    <row r="44" spans="1:9" hidden="1" x14ac:dyDescent="0.35">
      <c r="A44">
        <v>1043</v>
      </c>
      <c r="B44" t="s">
        <v>39</v>
      </c>
      <c r="C44" t="s">
        <v>10</v>
      </c>
      <c r="D44" t="s">
        <v>26</v>
      </c>
      <c r="E44" t="s">
        <v>12</v>
      </c>
      <c r="F44" t="s">
        <v>72</v>
      </c>
      <c r="G44">
        <v>3</v>
      </c>
      <c r="H44">
        <v>250</v>
      </c>
      <c r="I44">
        <f t="shared" si="0"/>
        <v>750</v>
      </c>
    </row>
    <row r="45" spans="1:9" hidden="1" x14ac:dyDescent="0.35">
      <c r="A45">
        <v>1044</v>
      </c>
      <c r="B45" t="s">
        <v>76</v>
      </c>
      <c r="C45" t="s">
        <v>29</v>
      </c>
      <c r="D45" t="s">
        <v>59</v>
      </c>
      <c r="E45" t="s">
        <v>12</v>
      </c>
      <c r="F45" t="s">
        <v>17</v>
      </c>
      <c r="G45">
        <v>2</v>
      </c>
      <c r="H45">
        <v>400</v>
      </c>
      <c r="I45">
        <f t="shared" si="0"/>
        <v>800</v>
      </c>
    </row>
    <row r="46" spans="1:9" hidden="1" x14ac:dyDescent="0.35">
      <c r="A46">
        <v>1045</v>
      </c>
      <c r="B46" t="s">
        <v>69</v>
      </c>
      <c r="C46" t="s">
        <v>29</v>
      </c>
      <c r="D46" t="s">
        <v>11</v>
      </c>
      <c r="E46" t="s">
        <v>12</v>
      </c>
      <c r="F46" t="s">
        <v>42</v>
      </c>
      <c r="G46">
        <v>1</v>
      </c>
      <c r="H46">
        <v>900</v>
      </c>
      <c r="I46">
        <f t="shared" si="0"/>
        <v>900</v>
      </c>
    </row>
    <row r="47" spans="1:9" hidden="1" x14ac:dyDescent="0.35">
      <c r="A47">
        <v>1046</v>
      </c>
      <c r="B47" t="s">
        <v>77</v>
      </c>
      <c r="C47" t="s">
        <v>15</v>
      </c>
      <c r="D47" t="s">
        <v>11</v>
      </c>
      <c r="E47" t="s">
        <v>12</v>
      </c>
      <c r="F47" t="s">
        <v>78</v>
      </c>
      <c r="G47">
        <v>6</v>
      </c>
      <c r="H47">
        <v>900</v>
      </c>
      <c r="I47">
        <f t="shared" si="0"/>
        <v>5400</v>
      </c>
    </row>
    <row r="48" spans="1:9" x14ac:dyDescent="0.35">
      <c r="A48">
        <v>1047</v>
      </c>
      <c r="B48" t="s">
        <v>79</v>
      </c>
      <c r="C48" t="s">
        <v>25</v>
      </c>
      <c r="D48" t="s">
        <v>19</v>
      </c>
      <c r="E48" t="s">
        <v>20</v>
      </c>
      <c r="F48" t="s">
        <v>46</v>
      </c>
      <c r="G48">
        <v>7</v>
      </c>
      <c r="H48">
        <v>350</v>
      </c>
      <c r="I48">
        <f t="shared" si="0"/>
        <v>2450</v>
      </c>
    </row>
    <row r="49" spans="1:9" x14ac:dyDescent="0.35">
      <c r="A49">
        <v>1048</v>
      </c>
      <c r="B49" t="s">
        <v>33</v>
      </c>
      <c r="C49" t="s">
        <v>25</v>
      </c>
      <c r="D49" t="s">
        <v>30</v>
      </c>
      <c r="E49" t="s">
        <v>20</v>
      </c>
      <c r="F49" t="s">
        <v>32</v>
      </c>
      <c r="G49">
        <v>3</v>
      </c>
      <c r="H49">
        <v>200</v>
      </c>
      <c r="I49">
        <f t="shared" si="0"/>
        <v>600</v>
      </c>
    </row>
    <row r="50" spans="1:9" hidden="1" x14ac:dyDescent="0.35">
      <c r="A50">
        <v>1049</v>
      </c>
      <c r="B50" t="s">
        <v>80</v>
      </c>
      <c r="C50" t="s">
        <v>29</v>
      </c>
      <c r="D50" t="s">
        <v>16</v>
      </c>
      <c r="E50" t="s">
        <v>12</v>
      </c>
      <c r="F50" t="s">
        <v>78</v>
      </c>
      <c r="G50">
        <v>1</v>
      </c>
      <c r="H50">
        <v>300</v>
      </c>
      <c r="I50">
        <f t="shared" si="0"/>
        <v>300</v>
      </c>
    </row>
    <row r="51" spans="1:9" hidden="1" x14ac:dyDescent="0.35">
      <c r="A51">
        <v>1050</v>
      </c>
      <c r="B51" t="s">
        <v>81</v>
      </c>
      <c r="C51" t="s">
        <v>10</v>
      </c>
      <c r="D51" t="s">
        <v>16</v>
      </c>
      <c r="E51" t="s">
        <v>12</v>
      </c>
      <c r="F51" t="s">
        <v>82</v>
      </c>
      <c r="G51">
        <v>8</v>
      </c>
      <c r="H51">
        <v>300</v>
      </c>
      <c r="I51">
        <f t="shared" si="0"/>
        <v>2400</v>
      </c>
    </row>
    <row r="52" spans="1:9" hidden="1" x14ac:dyDescent="0.35">
      <c r="A52">
        <v>1051</v>
      </c>
      <c r="B52" t="s">
        <v>39</v>
      </c>
      <c r="C52" t="s">
        <v>25</v>
      </c>
      <c r="D52" t="s">
        <v>48</v>
      </c>
      <c r="E52" t="s">
        <v>12</v>
      </c>
      <c r="F52" t="s">
        <v>78</v>
      </c>
      <c r="G52">
        <v>6</v>
      </c>
      <c r="H52">
        <v>600</v>
      </c>
      <c r="I52">
        <f t="shared" si="0"/>
        <v>3600</v>
      </c>
    </row>
    <row r="53" spans="1:9" hidden="1" x14ac:dyDescent="0.35">
      <c r="A53">
        <v>1052</v>
      </c>
      <c r="B53" t="s">
        <v>54</v>
      </c>
      <c r="C53" t="s">
        <v>29</v>
      </c>
      <c r="D53" t="s">
        <v>48</v>
      </c>
      <c r="E53" t="s">
        <v>12</v>
      </c>
      <c r="F53" t="s">
        <v>67</v>
      </c>
      <c r="G53">
        <v>8</v>
      </c>
      <c r="H53">
        <v>600</v>
      </c>
      <c r="I53">
        <f t="shared" si="0"/>
        <v>4800</v>
      </c>
    </row>
    <row r="54" spans="1:9" hidden="1" x14ac:dyDescent="0.35">
      <c r="A54">
        <v>1053</v>
      </c>
      <c r="B54" t="s">
        <v>83</v>
      </c>
      <c r="C54" t="s">
        <v>10</v>
      </c>
      <c r="D54" t="s">
        <v>35</v>
      </c>
      <c r="E54" t="s">
        <v>20</v>
      </c>
      <c r="F54" t="s">
        <v>56</v>
      </c>
      <c r="G54">
        <v>2</v>
      </c>
      <c r="H54">
        <v>120</v>
      </c>
      <c r="I54">
        <f t="shared" si="0"/>
        <v>240</v>
      </c>
    </row>
    <row r="55" spans="1:9" hidden="1" x14ac:dyDescent="0.35">
      <c r="A55">
        <v>1054</v>
      </c>
      <c r="B55" t="s">
        <v>66</v>
      </c>
      <c r="C55" t="s">
        <v>29</v>
      </c>
      <c r="D55" t="s">
        <v>11</v>
      </c>
      <c r="E55" t="s">
        <v>12</v>
      </c>
      <c r="F55" t="s">
        <v>40</v>
      </c>
      <c r="G55">
        <v>2</v>
      </c>
      <c r="H55">
        <v>900</v>
      </c>
      <c r="I55">
        <f t="shared" si="0"/>
        <v>1800</v>
      </c>
    </row>
    <row r="56" spans="1:9" hidden="1" x14ac:dyDescent="0.35">
      <c r="A56">
        <v>1055</v>
      </c>
      <c r="B56" t="s">
        <v>84</v>
      </c>
      <c r="C56" t="s">
        <v>25</v>
      </c>
      <c r="D56" t="s">
        <v>16</v>
      </c>
      <c r="E56" t="s">
        <v>12</v>
      </c>
      <c r="F56" t="s">
        <v>49</v>
      </c>
      <c r="G56">
        <v>6</v>
      </c>
      <c r="H56">
        <v>300</v>
      </c>
      <c r="I56">
        <f t="shared" si="0"/>
        <v>1800</v>
      </c>
    </row>
    <row r="57" spans="1:9" hidden="1" x14ac:dyDescent="0.35">
      <c r="A57">
        <v>1056</v>
      </c>
      <c r="B57" t="s">
        <v>85</v>
      </c>
      <c r="C57" t="s">
        <v>10</v>
      </c>
      <c r="D57" t="s">
        <v>35</v>
      </c>
      <c r="E57" t="s">
        <v>20</v>
      </c>
      <c r="F57" t="s">
        <v>38</v>
      </c>
      <c r="G57">
        <v>6</v>
      </c>
      <c r="H57">
        <v>120</v>
      </c>
      <c r="I57">
        <f t="shared" si="0"/>
        <v>720</v>
      </c>
    </row>
    <row r="58" spans="1:9" hidden="1" x14ac:dyDescent="0.35">
      <c r="A58">
        <v>1057</v>
      </c>
      <c r="B58" t="s">
        <v>80</v>
      </c>
      <c r="C58" t="s">
        <v>15</v>
      </c>
      <c r="D58" t="s">
        <v>48</v>
      </c>
      <c r="E58" t="s">
        <v>12</v>
      </c>
      <c r="F58" t="s">
        <v>21</v>
      </c>
      <c r="G58">
        <v>7</v>
      </c>
      <c r="H58">
        <v>600</v>
      </c>
      <c r="I58">
        <f t="shared" si="0"/>
        <v>4200</v>
      </c>
    </row>
    <row r="59" spans="1:9" hidden="1" x14ac:dyDescent="0.35">
      <c r="A59">
        <v>1058</v>
      </c>
      <c r="B59" t="s">
        <v>86</v>
      </c>
      <c r="C59" t="s">
        <v>29</v>
      </c>
      <c r="D59" t="s">
        <v>59</v>
      </c>
      <c r="E59" t="s">
        <v>12</v>
      </c>
      <c r="F59" t="s">
        <v>67</v>
      </c>
      <c r="G59">
        <v>7</v>
      </c>
      <c r="H59">
        <v>400</v>
      </c>
      <c r="I59">
        <f t="shared" si="0"/>
        <v>2800</v>
      </c>
    </row>
    <row r="60" spans="1:9" hidden="1" x14ac:dyDescent="0.35">
      <c r="A60">
        <v>1059</v>
      </c>
      <c r="B60" t="s">
        <v>87</v>
      </c>
      <c r="C60" t="s">
        <v>10</v>
      </c>
      <c r="D60" t="s">
        <v>19</v>
      </c>
      <c r="E60" t="s">
        <v>20</v>
      </c>
      <c r="F60" t="s">
        <v>21</v>
      </c>
      <c r="G60">
        <v>3</v>
      </c>
      <c r="H60">
        <v>350</v>
      </c>
      <c r="I60">
        <f t="shared" si="0"/>
        <v>1050</v>
      </c>
    </row>
    <row r="61" spans="1:9" hidden="1" x14ac:dyDescent="0.35">
      <c r="A61">
        <v>1060</v>
      </c>
      <c r="B61" t="s">
        <v>88</v>
      </c>
      <c r="C61" t="s">
        <v>25</v>
      </c>
      <c r="D61" t="s">
        <v>48</v>
      </c>
      <c r="E61" t="s">
        <v>12</v>
      </c>
      <c r="F61" t="s">
        <v>56</v>
      </c>
      <c r="G61">
        <v>4</v>
      </c>
      <c r="H61">
        <v>600</v>
      </c>
      <c r="I61">
        <f t="shared" si="0"/>
        <v>2400</v>
      </c>
    </row>
    <row r="62" spans="1:9" hidden="1" x14ac:dyDescent="0.35">
      <c r="A62">
        <v>1061</v>
      </c>
      <c r="B62" t="s">
        <v>61</v>
      </c>
      <c r="C62" t="s">
        <v>10</v>
      </c>
      <c r="D62" t="s">
        <v>35</v>
      </c>
      <c r="E62" t="s">
        <v>20</v>
      </c>
      <c r="F62" t="s">
        <v>32</v>
      </c>
      <c r="G62">
        <v>8</v>
      </c>
      <c r="H62">
        <v>120</v>
      </c>
      <c r="I62">
        <f t="shared" si="0"/>
        <v>960</v>
      </c>
    </row>
    <row r="63" spans="1:9" hidden="1" x14ac:dyDescent="0.35">
      <c r="A63">
        <v>1062</v>
      </c>
      <c r="B63" t="s">
        <v>89</v>
      </c>
      <c r="C63" t="s">
        <v>25</v>
      </c>
      <c r="D63" t="s">
        <v>16</v>
      </c>
      <c r="E63" t="s">
        <v>12</v>
      </c>
      <c r="F63" t="s">
        <v>78</v>
      </c>
      <c r="G63">
        <v>2</v>
      </c>
      <c r="H63">
        <v>300</v>
      </c>
      <c r="I63">
        <f t="shared" si="0"/>
        <v>600</v>
      </c>
    </row>
    <row r="64" spans="1:9" hidden="1" x14ac:dyDescent="0.35">
      <c r="A64">
        <v>1063</v>
      </c>
      <c r="B64" t="s">
        <v>14</v>
      </c>
      <c r="C64" t="s">
        <v>10</v>
      </c>
      <c r="D64" t="s">
        <v>19</v>
      </c>
      <c r="E64" t="s">
        <v>20</v>
      </c>
      <c r="F64" t="s">
        <v>38</v>
      </c>
      <c r="G64">
        <v>3</v>
      </c>
      <c r="H64">
        <v>350</v>
      </c>
      <c r="I64">
        <f t="shared" si="0"/>
        <v>1050</v>
      </c>
    </row>
    <row r="65" spans="1:9" hidden="1" x14ac:dyDescent="0.35">
      <c r="A65">
        <v>1064</v>
      </c>
      <c r="B65" t="s">
        <v>90</v>
      </c>
      <c r="C65" t="s">
        <v>10</v>
      </c>
      <c r="D65" t="s">
        <v>26</v>
      </c>
      <c r="E65" t="s">
        <v>12</v>
      </c>
      <c r="F65" t="s">
        <v>72</v>
      </c>
      <c r="G65">
        <v>2</v>
      </c>
      <c r="H65">
        <v>250</v>
      </c>
      <c r="I65">
        <f t="shared" si="0"/>
        <v>500</v>
      </c>
    </row>
    <row r="66" spans="1:9" hidden="1" x14ac:dyDescent="0.35">
      <c r="A66">
        <v>1065</v>
      </c>
      <c r="B66" t="s">
        <v>91</v>
      </c>
      <c r="C66" t="s">
        <v>10</v>
      </c>
      <c r="D66" t="s">
        <v>59</v>
      </c>
      <c r="E66" t="s">
        <v>12</v>
      </c>
      <c r="F66" t="s">
        <v>72</v>
      </c>
      <c r="G66">
        <v>8</v>
      </c>
      <c r="H66">
        <v>400</v>
      </c>
      <c r="I66">
        <f t="shared" si="0"/>
        <v>3200</v>
      </c>
    </row>
    <row r="67" spans="1:9" hidden="1" x14ac:dyDescent="0.35">
      <c r="A67">
        <v>1066</v>
      </c>
      <c r="B67" t="s">
        <v>92</v>
      </c>
      <c r="C67" t="s">
        <v>25</v>
      </c>
      <c r="D67" t="s">
        <v>16</v>
      </c>
      <c r="E67" t="s">
        <v>12</v>
      </c>
      <c r="F67" t="s">
        <v>13</v>
      </c>
      <c r="G67">
        <v>4</v>
      </c>
      <c r="H67">
        <v>300</v>
      </c>
      <c r="I67">
        <f t="shared" ref="I67:I121" si="1">G67*H67</f>
        <v>1200</v>
      </c>
    </row>
    <row r="68" spans="1:9" hidden="1" x14ac:dyDescent="0.35">
      <c r="A68">
        <v>1067</v>
      </c>
      <c r="B68" t="s">
        <v>93</v>
      </c>
      <c r="C68" t="s">
        <v>29</v>
      </c>
      <c r="D68" t="s">
        <v>59</v>
      </c>
      <c r="E68" t="s">
        <v>12</v>
      </c>
      <c r="F68" t="s">
        <v>13</v>
      </c>
      <c r="G68">
        <v>8</v>
      </c>
      <c r="H68">
        <v>400</v>
      </c>
      <c r="I68">
        <f t="shared" si="1"/>
        <v>3200</v>
      </c>
    </row>
    <row r="69" spans="1:9" hidden="1" x14ac:dyDescent="0.35">
      <c r="A69">
        <v>1068</v>
      </c>
      <c r="B69" t="s">
        <v>94</v>
      </c>
      <c r="C69" t="s">
        <v>29</v>
      </c>
      <c r="D69" t="s">
        <v>59</v>
      </c>
      <c r="E69" t="s">
        <v>12</v>
      </c>
      <c r="F69" t="s">
        <v>13</v>
      </c>
      <c r="G69">
        <v>4</v>
      </c>
      <c r="H69">
        <v>400</v>
      </c>
      <c r="I69">
        <f t="shared" si="1"/>
        <v>1600</v>
      </c>
    </row>
    <row r="70" spans="1:9" hidden="1" x14ac:dyDescent="0.35">
      <c r="A70">
        <v>1069</v>
      </c>
      <c r="B70" t="s">
        <v>50</v>
      </c>
      <c r="C70" t="s">
        <v>29</v>
      </c>
      <c r="D70" t="s">
        <v>16</v>
      </c>
      <c r="E70" t="s">
        <v>12</v>
      </c>
      <c r="F70" t="s">
        <v>75</v>
      </c>
      <c r="G70">
        <v>1</v>
      </c>
      <c r="H70">
        <v>300</v>
      </c>
      <c r="I70">
        <f t="shared" si="1"/>
        <v>300</v>
      </c>
    </row>
    <row r="71" spans="1:9" hidden="1" x14ac:dyDescent="0.35">
      <c r="A71">
        <v>1070</v>
      </c>
      <c r="B71" t="s">
        <v>39</v>
      </c>
      <c r="C71" t="s">
        <v>25</v>
      </c>
      <c r="D71" t="s">
        <v>26</v>
      </c>
      <c r="E71" t="s">
        <v>12</v>
      </c>
      <c r="F71" t="s">
        <v>17</v>
      </c>
      <c r="G71">
        <v>1</v>
      </c>
      <c r="H71">
        <v>250</v>
      </c>
      <c r="I71">
        <f t="shared" si="1"/>
        <v>250</v>
      </c>
    </row>
    <row r="72" spans="1:9" hidden="1" x14ac:dyDescent="0.35">
      <c r="A72">
        <v>1071</v>
      </c>
      <c r="B72" t="s">
        <v>95</v>
      </c>
      <c r="C72" t="s">
        <v>10</v>
      </c>
      <c r="D72" t="s">
        <v>16</v>
      </c>
      <c r="E72" t="s">
        <v>12</v>
      </c>
      <c r="F72" t="s">
        <v>72</v>
      </c>
      <c r="G72">
        <v>3</v>
      </c>
      <c r="H72">
        <v>300</v>
      </c>
      <c r="I72">
        <f t="shared" si="1"/>
        <v>900</v>
      </c>
    </row>
    <row r="73" spans="1:9" hidden="1" x14ac:dyDescent="0.35">
      <c r="A73">
        <v>1072</v>
      </c>
      <c r="B73" t="s">
        <v>51</v>
      </c>
      <c r="C73" t="s">
        <v>29</v>
      </c>
      <c r="D73" t="s">
        <v>35</v>
      </c>
      <c r="E73" t="s">
        <v>20</v>
      </c>
      <c r="F73" t="s">
        <v>13</v>
      </c>
      <c r="G73">
        <v>2</v>
      </c>
      <c r="H73">
        <v>120</v>
      </c>
      <c r="I73">
        <f t="shared" si="1"/>
        <v>240</v>
      </c>
    </row>
    <row r="74" spans="1:9" hidden="1" x14ac:dyDescent="0.35">
      <c r="A74">
        <v>1073</v>
      </c>
      <c r="B74" t="s">
        <v>96</v>
      </c>
      <c r="C74" t="s">
        <v>15</v>
      </c>
      <c r="D74" t="s">
        <v>48</v>
      </c>
      <c r="E74" t="s">
        <v>12</v>
      </c>
      <c r="F74" t="s">
        <v>72</v>
      </c>
      <c r="G74">
        <v>4</v>
      </c>
      <c r="H74">
        <v>600</v>
      </c>
      <c r="I74">
        <f t="shared" si="1"/>
        <v>2400</v>
      </c>
    </row>
    <row r="75" spans="1:9" hidden="1" x14ac:dyDescent="0.35">
      <c r="A75">
        <v>1074</v>
      </c>
      <c r="B75" t="s">
        <v>97</v>
      </c>
      <c r="C75" t="s">
        <v>10</v>
      </c>
      <c r="D75" t="s">
        <v>30</v>
      </c>
      <c r="E75" t="s">
        <v>20</v>
      </c>
      <c r="F75" t="s">
        <v>49</v>
      </c>
      <c r="G75">
        <v>8</v>
      </c>
      <c r="H75">
        <v>200</v>
      </c>
      <c r="I75">
        <f t="shared" si="1"/>
        <v>1600</v>
      </c>
    </row>
    <row r="76" spans="1:9" hidden="1" x14ac:dyDescent="0.35">
      <c r="A76">
        <v>1075</v>
      </c>
      <c r="B76" t="s">
        <v>61</v>
      </c>
      <c r="C76" t="s">
        <v>10</v>
      </c>
      <c r="D76" t="s">
        <v>26</v>
      </c>
      <c r="E76" t="s">
        <v>12</v>
      </c>
      <c r="F76" t="s">
        <v>67</v>
      </c>
      <c r="G76">
        <v>5</v>
      </c>
      <c r="H76">
        <v>250</v>
      </c>
      <c r="I76">
        <f t="shared" si="1"/>
        <v>1250</v>
      </c>
    </row>
    <row r="77" spans="1:9" hidden="1" x14ac:dyDescent="0.35">
      <c r="A77">
        <v>1076</v>
      </c>
      <c r="B77" t="s">
        <v>98</v>
      </c>
      <c r="C77" t="s">
        <v>10</v>
      </c>
      <c r="D77" t="s">
        <v>11</v>
      </c>
      <c r="E77" t="s">
        <v>12</v>
      </c>
      <c r="F77" t="s">
        <v>32</v>
      </c>
      <c r="G77">
        <v>3</v>
      </c>
      <c r="H77">
        <v>900</v>
      </c>
      <c r="I77">
        <f t="shared" si="1"/>
        <v>2700</v>
      </c>
    </row>
    <row r="78" spans="1:9" hidden="1" x14ac:dyDescent="0.35">
      <c r="A78">
        <v>1077</v>
      </c>
      <c r="B78" t="s">
        <v>99</v>
      </c>
      <c r="C78" t="s">
        <v>29</v>
      </c>
      <c r="D78" t="s">
        <v>35</v>
      </c>
      <c r="E78" t="s">
        <v>20</v>
      </c>
      <c r="F78" t="s">
        <v>56</v>
      </c>
      <c r="G78">
        <v>8</v>
      </c>
      <c r="H78">
        <v>120</v>
      </c>
      <c r="I78">
        <f t="shared" si="1"/>
        <v>960</v>
      </c>
    </row>
    <row r="79" spans="1:9" hidden="1" x14ac:dyDescent="0.35">
      <c r="A79">
        <v>1078</v>
      </c>
      <c r="B79" t="s">
        <v>100</v>
      </c>
      <c r="C79" t="s">
        <v>29</v>
      </c>
      <c r="D79" t="s">
        <v>19</v>
      </c>
      <c r="E79" t="s">
        <v>20</v>
      </c>
      <c r="F79" t="s">
        <v>17</v>
      </c>
      <c r="G79">
        <v>8</v>
      </c>
      <c r="H79">
        <v>350</v>
      </c>
      <c r="I79">
        <f t="shared" si="1"/>
        <v>2800</v>
      </c>
    </row>
    <row r="80" spans="1:9" hidden="1" x14ac:dyDescent="0.35">
      <c r="A80">
        <v>1079</v>
      </c>
      <c r="B80" t="s">
        <v>101</v>
      </c>
      <c r="C80" t="s">
        <v>29</v>
      </c>
      <c r="D80" t="s">
        <v>19</v>
      </c>
      <c r="E80" t="s">
        <v>20</v>
      </c>
      <c r="F80" t="s">
        <v>72</v>
      </c>
      <c r="G80">
        <v>3</v>
      </c>
      <c r="H80">
        <v>350</v>
      </c>
      <c r="I80">
        <f t="shared" si="1"/>
        <v>1050</v>
      </c>
    </row>
    <row r="81" spans="1:9" hidden="1" x14ac:dyDescent="0.35">
      <c r="A81">
        <v>1080</v>
      </c>
      <c r="B81" t="s">
        <v>102</v>
      </c>
      <c r="C81" t="s">
        <v>25</v>
      </c>
      <c r="D81" t="s">
        <v>11</v>
      </c>
      <c r="E81" t="s">
        <v>12</v>
      </c>
      <c r="F81" t="s">
        <v>23</v>
      </c>
      <c r="G81">
        <v>2</v>
      </c>
      <c r="H81">
        <v>900</v>
      </c>
      <c r="I81">
        <f t="shared" si="1"/>
        <v>1800</v>
      </c>
    </row>
    <row r="82" spans="1:9" hidden="1" x14ac:dyDescent="0.35">
      <c r="A82">
        <v>1081</v>
      </c>
      <c r="B82" t="s">
        <v>101</v>
      </c>
      <c r="C82" t="s">
        <v>29</v>
      </c>
      <c r="D82" t="s">
        <v>35</v>
      </c>
      <c r="E82" t="s">
        <v>20</v>
      </c>
      <c r="F82" t="s">
        <v>53</v>
      </c>
      <c r="G82">
        <v>6</v>
      </c>
      <c r="H82">
        <v>120</v>
      </c>
      <c r="I82">
        <f t="shared" si="1"/>
        <v>720</v>
      </c>
    </row>
    <row r="83" spans="1:9" hidden="1" x14ac:dyDescent="0.35">
      <c r="A83">
        <v>1082</v>
      </c>
      <c r="B83" t="s">
        <v>103</v>
      </c>
      <c r="C83" t="s">
        <v>25</v>
      </c>
      <c r="D83" t="s">
        <v>59</v>
      </c>
      <c r="E83" t="s">
        <v>12</v>
      </c>
      <c r="F83" t="s">
        <v>67</v>
      </c>
      <c r="G83">
        <v>8</v>
      </c>
      <c r="H83">
        <v>400</v>
      </c>
      <c r="I83">
        <f t="shared" si="1"/>
        <v>3200</v>
      </c>
    </row>
    <row r="84" spans="1:9" hidden="1" x14ac:dyDescent="0.35">
      <c r="A84">
        <v>1083</v>
      </c>
      <c r="B84" t="s">
        <v>104</v>
      </c>
      <c r="C84" t="s">
        <v>25</v>
      </c>
      <c r="D84" t="s">
        <v>16</v>
      </c>
      <c r="E84" t="s">
        <v>12</v>
      </c>
      <c r="F84" t="s">
        <v>72</v>
      </c>
      <c r="G84">
        <v>4</v>
      </c>
      <c r="H84">
        <v>300</v>
      </c>
      <c r="I84">
        <f t="shared" si="1"/>
        <v>1200</v>
      </c>
    </row>
    <row r="85" spans="1:9" hidden="1" x14ac:dyDescent="0.35">
      <c r="A85">
        <v>1084</v>
      </c>
      <c r="B85" t="s">
        <v>105</v>
      </c>
      <c r="C85" t="s">
        <v>29</v>
      </c>
      <c r="D85" t="s">
        <v>26</v>
      </c>
      <c r="E85" t="s">
        <v>12</v>
      </c>
      <c r="F85" t="s">
        <v>46</v>
      </c>
      <c r="G85">
        <v>4</v>
      </c>
      <c r="H85">
        <v>250</v>
      </c>
      <c r="I85">
        <f t="shared" si="1"/>
        <v>1000</v>
      </c>
    </row>
    <row r="86" spans="1:9" hidden="1" x14ac:dyDescent="0.35">
      <c r="A86">
        <v>1085</v>
      </c>
      <c r="B86" t="s">
        <v>106</v>
      </c>
      <c r="C86" t="s">
        <v>29</v>
      </c>
      <c r="D86" t="s">
        <v>30</v>
      </c>
      <c r="E86" t="s">
        <v>20</v>
      </c>
      <c r="F86" t="s">
        <v>49</v>
      </c>
      <c r="G86">
        <v>6</v>
      </c>
      <c r="H86">
        <v>200</v>
      </c>
      <c r="I86">
        <f t="shared" si="1"/>
        <v>1200</v>
      </c>
    </row>
    <row r="87" spans="1:9" hidden="1" x14ac:dyDescent="0.35">
      <c r="A87">
        <v>1086</v>
      </c>
      <c r="B87" t="s">
        <v>68</v>
      </c>
      <c r="C87" t="s">
        <v>10</v>
      </c>
      <c r="D87" t="s">
        <v>59</v>
      </c>
      <c r="E87" t="s">
        <v>12</v>
      </c>
      <c r="F87" t="s">
        <v>21</v>
      </c>
      <c r="G87">
        <v>3</v>
      </c>
      <c r="H87">
        <v>400</v>
      </c>
      <c r="I87">
        <f t="shared" si="1"/>
        <v>1200</v>
      </c>
    </row>
    <row r="88" spans="1:9" hidden="1" x14ac:dyDescent="0.35">
      <c r="A88">
        <v>1087</v>
      </c>
      <c r="B88" t="s">
        <v>107</v>
      </c>
      <c r="C88" t="s">
        <v>15</v>
      </c>
      <c r="D88" t="s">
        <v>19</v>
      </c>
      <c r="E88" t="s">
        <v>20</v>
      </c>
      <c r="F88" t="s">
        <v>53</v>
      </c>
      <c r="G88">
        <v>3</v>
      </c>
      <c r="H88">
        <v>350</v>
      </c>
      <c r="I88">
        <f t="shared" si="1"/>
        <v>1050</v>
      </c>
    </row>
    <row r="89" spans="1:9" x14ac:dyDescent="0.35">
      <c r="A89">
        <v>1088</v>
      </c>
      <c r="B89" t="s">
        <v>96</v>
      </c>
      <c r="C89" t="s">
        <v>25</v>
      </c>
      <c r="D89" t="s">
        <v>19</v>
      </c>
      <c r="E89" t="s">
        <v>20</v>
      </c>
      <c r="F89" t="s">
        <v>78</v>
      </c>
      <c r="G89">
        <v>8</v>
      </c>
      <c r="H89">
        <v>350</v>
      </c>
      <c r="I89">
        <f t="shared" si="1"/>
        <v>2800</v>
      </c>
    </row>
    <row r="90" spans="1:9" hidden="1" x14ac:dyDescent="0.35">
      <c r="A90">
        <v>1089</v>
      </c>
      <c r="B90" t="s">
        <v>96</v>
      </c>
      <c r="C90" t="s">
        <v>10</v>
      </c>
      <c r="D90" t="s">
        <v>35</v>
      </c>
      <c r="E90" t="s">
        <v>20</v>
      </c>
      <c r="F90" t="s">
        <v>42</v>
      </c>
      <c r="G90">
        <v>1</v>
      </c>
      <c r="H90">
        <v>120</v>
      </c>
      <c r="I90">
        <f t="shared" si="1"/>
        <v>120</v>
      </c>
    </row>
    <row r="91" spans="1:9" hidden="1" x14ac:dyDescent="0.35">
      <c r="A91">
        <v>1090</v>
      </c>
      <c r="B91" t="s">
        <v>108</v>
      </c>
      <c r="C91" t="s">
        <v>15</v>
      </c>
      <c r="D91" t="s">
        <v>35</v>
      </c>
      <c r="E91" t="s">
        <v>20</v>
      </c>
      <c r="F91" t="s">
        <v>67</v>
      </c>
      <c r="G91">
        <v>1</v>
      </c>
      <c r="H91">
        <v>120</v>
      </c>
      <c r="I91">
        <f t="shared" si="1"/>
        <v>120</v>
      </c>
    </row>
    <row r="92" spans="1:9" hidden="1" x14ac:dyDescent="0.35">
      <c r="A92">
        <v>1091</v>
      </c>
      <c r="B92" t="s">
        <v>109</v>
      </c>
      <c r="C92" t="s">
        <v>15</v>
      </c>
      <c r="D92" t="s">
        <v>26</v>
      </c>
      <c r="E92" t="s">
        <v>12</v>
      </c>
      <c r="F92" t="s">
        <v>17</v>
      </c>
      <c r="G92">
        <v>1</v>
      </c>
      <c r="H92">
        <v>250</v>
      </c>
      <c r="I92">
        <f t="shared" si="1"/>
        <v>250</v>
      </c>
    </row>
    <row r="93" spans="1:9" hidden="1" x14ac:dyDescent="0.35">
      <c r="A93">
        <v>1092</v>
      </c>
      <c r="B93" t="s">
        <v>66</v>
      </c>
      <c r="C93" t="s">
        <v>25</v>
      </c>
      <c r="D93" t="s">
        <v>48</v>
      </c>
      <c r="E93" t="s">
        <v>12</v>
      </c>
      <c r="F93" t="s">
        <v>46</v>
      </c>
      <c r="G93">
        <v>5</v>
      </c>
      <c r="H93">
        <v>600</v>
      </c>
      <c r="I93">
        <f t="shared" si="1"/>
        <v>3000</v>
      </c>
    </row>
    <row r="94" spans="1:9" hidden="1" x14ac:dyDescent="0.35">
      <c r="A94">
        <v>1093</v>
      </c>
      <c r="B94" t="s">
        <v>110</v>
      </c>
      <c r="C94" t="s">
        <v>10</v>
      </c>
      <c r="D94" t="s">
        <v>30</v>
      </c>
      <c r="E94" t="s">
        <v>20</v>
      </c>
      <c r="F94" t="s">
        <v>27</v>
      </c>
      <c r="G94">
        <v>8</v>
      </c>
      <c r="H94">
        <v>200</v>
      </c>
      <c r="I94">
        <f t="shared" si="1"/>
        <v>1600</v>
      </c>
    </row>
    <row r="95" spans="1:9" hidden="1" x14ac:dyDescent="0.35">
      <c r="A95">
        <v>1094</v>
      </c>
      <c r="B95" t="s">
        <v>111</v>
      </c>
      <c r="C95" t="s">
        <v>10</v>
      </c>
      <c r="D95" t="s">
        <v>11</v>
      </c>
      <c r="E95" t="s">
        <v>12</v>
      </c>
      <c r="F95" t="s">
        <v>67</v>
      </c>
      <c r="G95">
        <v>3</v>
      </c>
      <c r="H95">
        <v>900</v>
      </c>
      <c r="I95">
        <f t="shared" si="1"/>
        <v>2700</v>
      </c>
    </row>
    <row r="96" spans="1:9" hidden="1" x14ac:dyDescent="0.35">
      <c r="A96">
        <v>1095</v>
      </c>
      <c r="B96" t="s">
        <v>93</v>
      </c>
      <c r="C96" t="s">
        <v>29</v>
      </c>
      <c r="D96" t="s">
        <v>19</v>
      </c>
      <c r="E96" t="s">
        <v>20</v>
      </c>
      <c r="F96" t="s">
        <v>44</v>
      </c>
      <c r="G96">
        <v>7</v>
      </c>
      <c r="H96">
        <v>350</v>
      </c>
      <c r="I96">
        <f t="shared" si="1"/>
        <v>2450</v>
      </c>
    </row>
    <row r="97" spans="1:9" hidden="1" x14ac:dyDescent="0.35">
      <c r="A97">
        <v>1096</v>
      </c>
      <c r="B97" t="s">
        <v>110</v>
      </c>
      <c r="C97" t="s">
        <v>10</v>
      </c>
      <c r="D97" t="s">
        <v>30</v>
      </c>
      <c r="E97" t="s">
        <v>20</v>
      </c>
      <c r="F97" t="s">
        <v>44</v>
      </c>
      <c r="G97">
        <v>3</v>
      </c>
      <c r="H97">
        <v>200</v>
      </c>
      <c r="I97">
        <f t="shared" si="1"/>
        <v>600</v>
      </c>
    </row>
    <row r="98" spans="1:9" hidden="1" x14ac:dyDescent="0.35">
      <c r="A98">
        <v>1097</v>
      </c>
      <c r="B98" t="s">
        <v>88</v>
      </c>
      <c r="C98" t="s">
        <v>29</v>
      </c>
      <c r="D98" t="s">
        <v>35</v>
      </c>
      <c r="E98" t="s">
        <v>20</v>
      </c>
      <c r="F98" t="s">
        <v>64</v>
      </c>
      <c r="G98">
        <v>4</v>
      </c>
      <c r="H98">
        <v>120</v>
      </c>
      <c r="I98">
        <f t="shared" si="1"/>
        <v>480</v>
      </c>
    </row>
    <row r="99" spans="1:9" hidden="1" x14ac:dyDescent="0.35">
      <c r="A99">
        <v>1098</v>
      </c>
      <c r="B99" t="s">
        <v>112</v>
      </c>
      <c r="C99" t="s">
        <v>10</v>
      </c>
      <c r="D99" t="s">
        <v>11</v>
      </c>
      <c r="E99" t="s">
        <v>12</v>
      </c>
      <c r="F99" t="s">
        <v>75</v>
      </c>
      <c r="G99">
        <v>3</v>
      </c>
      <c r="H99">
        <v>900</v>
      </c>
      <c r="I99">
        <f t="shared" si="1"/>
        <v>2700</v>
      </c>
    </row>
    <row r="100" spans="1:9" hidden="1" x14ac:dyDescent="0.35">
      <c r="A100">
        <v>1099</v>
      </c>
      <c r="B100" t="s">
        <v>113</v>
      </c>
      <c r="C100" t="s">
        <v>25</v>
      </c>
      <c r="D100" t="s">
        <v>11</v>
      </c>
      <c r="E100" t="s">
        <v>12</v>
      </c>
      <c r="F100" t="s">
        <v>67</v>
      </c>
      <c r="G100">
        <v>2</v>
      </c>
      <c r="H100">
        <v>900</v>
      </c>
      <c r="I100">
        <f t="shared" si="1"/>
        <v>1800</v>
      </c>
    </row>
    <row r="101" spans="1:9" hidden="1" x14ac:dyDescent="0.35">
      <c r="A101">
        <v>1100</v>
      </c>
      <c r="B101" t="s">
        <v>55</v>
      </c>
      <c r="C101" t="s">
        <v>10</v>
      </c>
      <c r="D101" t="s">
        <v>35</v>
      </c>
      <c r="E101" t="s">
        <v>20</v>
      </c>
      <c r="F101" t="s">
        <v>40</v>
      </c>
      <c r="G101">
        <v>8</v>
      </c>
      <c r="H101">
        <v>120</v>
      </c>
      <c r="I101">
        <f t="shared" si="1"/>
        <v>960</v>
      </c>
    </row>
    <row r="102" spans="1:9" hidden="1" x14ac:dyDescent="0.35">
      <c r="A102">
        <v>1101</v>
      </c>
      <c r="B102" t="s">
        <v>69</v>
      </c>
      <c r="C102" t="s">
        <v>15</v>
      </c>
      <c r="D102" t="s">
        <v>30</v>
      </c>
      <c r="E102" t="s">
        <v>20</v>
      </c>
      <c r="F102" t="s">
        <v>78</v>
      </c>
      <c r="G102">
        <v>5</v>
      </c>
      <c r="H102">
        <v>200</v>
      </c>
      <c r="I102">
        <f t="shared" si="1"/>
        <v>1000</v>
      </c>
    </row>
    <row r="103" spans="1:9" hidden="1" x14ac:dyDescent="0.35">
      <c r="A103">
        <v>1102</v>
      </c>
      <c r="B103" t="s">
        <v>14</v>
      </c>
      <c r="C103" t="s">
        <v>29</v>
      </c>
      <c r="D103" t="s">
        <v>30</v>
      </c>
      <c r="E103" t="s">
        <v>20</v>
      </c>
      <c r="F103" t="s">
        <v>32</v>
      </c>
      <c r="G103">
        <v>3</v>
      </c>
      <c r="H103">
        <v>200</v>
      </c>
      <c r="I103">
        <f t="shared" si="1"/>
        <v>600</v>
      </c>
    </row>
    <row r="104" spans="1:9" hidden="1" x14ac:dyDescent="0.35">
      <c r="A104">
        <v>1103</v>
      </c>
      <c r="B104" t="s">
        <v>18</v>
      </c>
      <c r="C104" t="s">
        <v>29</v>
      </c>
      <c r="D104" t="s">
        <v>16</v>
      </c>
      <c r="E104" t="s">
        <v>12</v>
      </c>
      <c r="F104" t="s">
        <v>21</v>
      </c>
      <c r="G104">
        <v>8</v>
      </c>
      <c r="H104">
        <v>300</v>
      </c>
      <c r="I104">
        <f t="shared" si="1"/>
        <v>2400</v>
      </c>
    </row>
    <row r="105" spans="1:9" hidden="1" x14ac:dyDescent="0.35">
      <c r="A105">
        <v>1104</v>
      </c>
      <c r="B105" t="s">
        <v>101</v>
      </c>
      <c r="C105" t="s">
        <v>15</v>
      </c>
      <c r="D105" t="s">
        <v>11</v>
      </c>
      <c r="E105" t="s">
        <v>12</v>
      </c>
      <c r="F105" t="s">
        <v>40</v>
      </c>
      <c r="G105">
        <v>8</v>
      </c>
      <c r="H105">
        <v>900</v>
      </c>
      <c r="I105">
        <f t="shared" si="1"/>
        <v>7200</v>
      </c>
    </row>
    <row r="106" spans="1:9" hidden="1" x14ac:dyDescent="0.35">
      <c r="A106">
        <v>1105</v>
      </c>
      <c r="B106" t="s">
        <v>36</v>
      </c>
      <c r="C106" t="s">
        <v>29</v>
      </c>
      <c r="D106" t="s">
        <v>16</v>
      </c>
      <c r="E106" t="s">
        <v>12</v>
      </c>
      <c r="F106" t="s">
        <v>56</v>
      </c>
      <c r="G106">
        <v>4</v>
      </c>
      <c r="H106">
        <v>300</v>
      </c>
      <c r="I106">
        <f t="shared" si="1"/>
        <v>1200</v>
      </c>
    </row>
    <row r="107" spans="1:9" hidden="1" x14ac:dyDescent="0.35">
      <c r="A107">
        <v>1106</v>
      </c>
      <c r="B107" t="s">
        <v>85</v>
      </c>
      <c r="C107" t="s">
        <v>29</v>
      </c>
      <c r="D107" t="s">
        <v>11</v>
      </c>
      <c r="E107" t="s">
        <v>12</v>
      </c>
      <c r="F107" t="s">
        <v>49</v>
      </c>
      <c r="G107">
        <v>4</v>
      </c>
      <c r="H107">
        <v>900</v>
      </c>
      <c r="I107">
        <f t="shared" si="1"/>
        <v>3600</v>
      </c>
    </row>
    <row r="108" spans="1:9" hidden="1" x14ac:dyDescent="0.35">
      <c r="A108">
        <v>1107</v>
      </c>
      <c r="B108" t="s">
        <v>73</v>
      </c>
      <c r="C108" t="s">
        <v>10</v>
      </c>
      <c r="D108" t="s">
        <v>26</v>
      </c>
      <c r="E108" t="s">
        <v>12</v>
      </c>
      <c r="F108" t="s">
        <v>42</v>
      </c>
      <c r="G108">
        <v>4</v>
      </c>
      <c r="H108">
        <v>250</v>
      </c>
      <c r="I108">
        <f t="shared" si="1"/>
        <v>1000</v>
      </c>
    </row>
    <row r="109" spans="1:9" hidden="1" x14ac:dyDescent="0.35">
      <c r="A109">
        <v>1108</v>
      </c>
      <c r="B109" t="s">
        <v>114</v>
      </c>
      <c r="C109" t="s">
        <v>25</v>
      </c>
      <c r="D109" t="s">
        <v>48</v>
      </c>
      <c r="E109" t="s">
        <v>12</v>
      </c>
      <c r="F109" t="s">
        <v>23</v>
      </c>
      <c r="G109">
        <v>8</v>
      </c>
      <c r="H109">
        <v>600</v>
      </c>
      <c r="I109">
        <f t="shared" si="1"/>
        <v>4800</v>
      </c>
    </row>
    <row r="110" spans="1:9" hidden="1" x14ac:dyDescent="0.35">
      <c r="A110">
        <v>1109</v>
      </c>
      <c r="B110" t="s">
        <v>115</v>
      </c>
      <c r="C110" t="s">
        <v>29</v>
      </c>
      <c r="D110" t="s">
        <v>19</v>
      </c>
      <c r="E110" t="s">
        <v>20</v>
      </c>
      <c r="F110" t="s">
        <v>17</v>
      </c>
      <c r="G110">
        <v>7</v>
      </c>
      <c r="H110">
        <v>350</v>
      </c>
      <c r="I110">
        <f t="shared" si="1"/>
        <v>2450</v>
      </c>
    </row>
    <row r="111" spans="1:9" hidden="1" x14ac:dyDescent="0.35">
      <c r="A111">
        <v>1110</v>
      </c>
      <c r="B111" t="s">
        <v>76</v>
      </c>
      <c r="C111" t="s">
        <v>10</v>
      </c>
      <c r="D111" t="s">
        <v>30</v>
      </c>
      <c r="E111" t="s">
        <v>20</v>
      </c>
      <c r="F111" t="s">
        <v>44</v>
      </c>
      <c r="G111">
        <v>5</v>
      </c>
      <c r="H111">
        <v>200</v>
      </c>
      <c r="I111">
        <f t="shared" si="1"/>
        <v>1000</v>
      </c>
    </row>
    <row r="112" spans="1:9" hidden="1" x14ac:dyDescent="0.35">
      <c r="A112">
        <v>1111</v>
      </c>
      <c r="B112" t="s">
        <v>116</v>
      </c>
      <c r="C112" t="s">
        <v>25</v>
      </c>
      <c r="D112" t="s">
        <v>16</v>
      </c>
      <c r="E112" t="s">
        <v>12</v>
      </c>
      <c r="F112" t="s">
        <v>49</v>
      </c>
      <c r="G112">
        <v>7</v>
      </c>
      <c r="H112">
        <v>300</v>
      </c>
      <c r="I112">
        <f t="shared" si="1"/>
        <v>2100</v>
      </c>
    </row>
    <row r="113" spans="1:9" hidden="1" x14ac:dyDescent="0.35">
      <c r="A113">
        <v>1112</v>
      </c>
      <c r="B113" t="s">
        <v>117</v>
      </c>
      <c r="C113" t="s">
        <v>29</v>
      </c>
      <c r="D113" t="s">
        <v>26</v>
      </c>
      <c r="E113" t="s">
        <v>12</v>
      </c>
      <c r="F113" t="s">
        <v>75</v>
      </c>
      <c r="G113">
        <v>8</v>
      </c>
      <c r="H113">
        <v>250</v>
      </c>
      <c r="I113">
        <f t="shared" si="1"/>
        <v>2000</v>
      </c>
    </row>
    <row r="114" spans="1:9" hidden="1" x14ac:dyDescent="0.35">
      <c r="A114">
        <v>1113</v>
      </c>
      <c r="B114" t="s">
        <v>69</v>
      </c>
      <c r="C114" t="s">
        <v>29</v>
      </c>
      <c r="D114" t="s">
        <v>48</v>
      </c>
      <c r="E114" t="s">
        <v>12</v>
      </c>
      <c r="F114" t="s">
        <v>78</v>
      </c>
      <c r="G114">
        <v>8</v>
      </c>
      <c r="H114">
        <v>600</v>
      </c>
      <c r="I114">
        <f t="shared" si="1"/>
        <v>4800</v>
      </c>
    </row>
    <row r="115" spans="1:9" hidden="1" x14ac:dyDescent="0.35">
      <c r="A115">
        <v>1114</v>
      </c>
      <c r="B115" t="s">
        <v>88</v>
      </c>
      <c r="C115" t="s">
        <v>25</v>
      </c>
      <c r="D115" t="s">
        <v>16</v>
      </c>
      <c r="E115" t="s">
        <v>12</v>
      </c>
      <c r="F115" t="s">
        <v>40</v>
      </c>
      <c r="G115">
        <v>2</v>
      </c>
      <c r="H115">
        <v>300</v>
      </c>
      <c r="I115">
        <f t="shared" si="1"/>
        <v>600</v>
      </c>
    </row>
    <row r="116" spans="1:9" hidden="1" x14ac:dyDescent="0.35">
      <c r="A116">
        <v>1115</v>
      </c>
      <c r="B116" t="s">
        <v>107</v>
      </c>
      <c r="C116" t="s">
        <v>15</v>
      </c>
      <c r="D116" t="s">
        <v>35</v>
      </c>
      <c r="E116" t="s">
        <v>20</v>
      </c>
      <c r="F116" t="s">
        <v>82</v>
      </c>
      <c r="G116">
        <v>2</v>
      </c>
      <c r="H116">
        <v>120</v>
      </c>
      <c r="I116">
        <f t="shared" si="1"/>
        <v>240</v>
      </c>
    </row>
    <row r="117" spans="1:9" hidden="1" x14ac:dyDescent="0.35">
      <c r="A117">
        <v>1116</v>
      </c>
      <c r="B117" t="s">
        <v>28</v>
      </c>
      <c r="C117" t="s">
        <v>15</v>
      </c>
      <c r="D117" t="s">
        <v>26</v>
      </c>
      <c r="E117" t="s">
        <v>12</v>
      </c>
      <c r="F117" t="s">
        <v>53</v>
      </c>
      <c r="G117">
        <v>8</v>
      </c>
      <c r="H117">
        <v>250</v>
      </c>
      <c r="I117">
        <f t="shared" si="1"/>
        <v>2000</v>
      </c>
    </row>
    <row r="118" spans="1:9" hidden="1" x14ac:dyDescent="0.35">
      <c r="A118">
        <v>1117</v>
      </c>
      <c r="B118" t="s">
        <v>85</v>
      </c>
      <c r="C118" t="s">
        <v>15</v>
      </c>
      <c r="D118" t="s">
        <v>19</v>
      </c>
      <c r="E118" t="s">
        <v>20</v>
      </c>
      <c r="F118" t="s">
        <v>42</v>
      </c>
      <c r="G118">
        <v>4</v>
      </c>
      <c r="H118">
        <v>350</v>
      </c>
      <c r="I118">
        <f t="shared" si="1"/>
        <v>1400</v>
      </c>
    </row>
    <row r="119" spans="1:9" hidden="1" x14ac:dyDescent="0.35">
      <c r="A119">
        <v>1118</v>
      </c>
      <c r="B119" t="s">
        <v>55</v>
      </c>
      <c r="C119" t="s">
        <v>25</v>
      </c>
      <c r="D119" t="s">
        <v>26</v>
      </c>
      <c r="E119" t="s">
        <v>12</v>
      </c>
      <c r="F119" t="s">
        <v>53</v>
      </c>
      <c r="G119">
        <v>4</v>
      </c>
      <c r="H119">
        <v>250</v>
      </c>
      <c r="I119">
        <f t="shared" si="1"/>
        <v>1000</v>
      </c>
    </row>
    <row r="120" spans="1:9" hidden="1" x14ac:dyDescent="0.35">
      <c r="A120">
        <v>1119</v>
      </c>
      <c r="B120" t="s">
        <v>70</v>
      </c>
      <c r="C120" t="s">
        <v>29</v>
      </c>
      <c r="D120" t="s">
        <v>19</v>
      </c>
      <c r="E120" t="s">
        <v>20</v>
      </c>
      <c r="F120" t="s">
        <v>72</v>
      </c>
      <c r="G120">
        <v>7</v>
      </c>
      <c r="H120">
        <v>350</v>
      </c>
      <c r="I120">
        <f t="shared" si="1"/>
        <v>2450</v>
      </c>
    </row>
    <row r="121" spans="1:9" hidden="1" x14ac:dyDescent="0.35">
      <c r="A121">
        <v>1120</v>
      </c>
      <c r="B121" t="s">
        <v>83</v>
      </c>
      <c r="C121" t="s">
        <v>10</v>
      </c>
      <c r="D121" t="s">
        <v>19</v>
      </c>
      <c r="E121" t="s">
        <v>20</v>
      </c>
      <c r="F121" t="s">
        <v>40</v>
      </c>
      <c r="G121">
        <v>1</v>
      </c>
      <c r="H121">
        <v>350</v>
      </c>
      <c r="I121">
        <f t="shared" si="1"/>
        <v>350</v>
      </c>
    </row>
    <row r="123" spans="1:9" x14ac:dyDescent="0.35">
      <c r="B123" s="2" t="s">
        <v>126</v>
      </c>
    </row>
    <row r="124" spans="1:9" x14ac:dyDescent="0.35">
      <c r="B124" t="s">
        <v>119</v>
      </c>
      <c r="C124">
        <f>SUM(I2:I121)</f>
        <v>221060</v>
      </c>
    </row>
    <row r="126" spans="1:9" x14ac:dyDescent="0.35">
      <c r="B126" t="s">
        <v>118</v>
      </c>
      <c r="C126" t="s">
        <v>15</v>
      </c>
      <c r="D126" t="s">
        <v>29</v>
      </c>
      <c r="E126" t="s">
        <v>10</v>
      </c>
      <c r="F126" t="s">
        <v>25</v>
      </c>
    </row>
    <row r="127" spans="1:9" x14ac:dyDescent="0.35">
      <c r="C127">
        <f>SUM(I37:I118)</f>
        <v>145210</v>
      </c>
      <c r="D127">
        <f>SUM(I7:I120)</f>
        <v>212460</v>
      </c>
      <c r="E127">
        <f>SUM(I2:I121)</f>
        <v>221060</v>
      </c>
      <c r="F127">
        <f>SUM(I6:I119)</f>
        <v>211260</v>
      </c>
    </row>
    <row r="129" spans="2:10" x14ac:dyDescent="0.35">
      <c r="B129" t="s">
        <v>120</v>
      </c>
      <c r="C129" t="s">
        <v>30</v>
      </c>
      <c r="D129" t="s">
        <v>35</v>
      </c>
      <c r="E129" t="s">
        <v>19</v>
      </c>
      <c r="F129" t="s">
        <v>11</v>
      </c>
      <c r="G129" t="s">
        <v>16</v>
      </c>
      <c r="H129" t="s">
        <v>48</v>
      </c>
      <c r="I129" t="s">
        <v>26</v>
      </c>
      <c r="J129" t="s">
        <v>59</v>
      </c>
    </row>
    <row r="130" spans="2:10" x14ac:dyDescent="0.35">
      <c r="C130">
        <f>SUM(I7:I111)</f>
        <v>195870</v>
      </c>
      <c r="D130">
        <f>SUM(I10:I116)</f>
        <v>203010</v>
      </c>
      <c r="E130">
        <f>SUM(I24:I121)</f>
        <v>178750</v>
      </c>
      <c r="F130">
        <f>SUM(D130)</f>
        <v>203010</v>
      </c>
      <c r="G130">
        <f>SUM(I3:I115)</f>
        <v>211820</v>
      </c>
      <c r="H130">
        <f>SUM(I18:I114)</f>
        <v>178170</v>
      </c>
      <c r="I130">
        <f>SUM(I6:I119)</f>
        <v>211260</v>
      </c>
      <c r="J130">
        <f>SUM(I28:I87)</f>
        <v>107330</v>
      </c>
    </row>
    <row r="132" spans="2:10" x14ac:dyDescent="0.35">
      <c r="B132" t="s">
        <v>121</v>
      </c>
      <c r="C132" t="s">
        <v>122</v>
      </c>
      <c r="D132" t="s">
        <v>123</v>
      </c>
    </row>
    <row r="133" spans="2:10" x14ac:dyDescent="0.35">
      <c r="C133">
        <f>SUM(I4:I121)</f>
        <v>216860</v>
      </c>
      <c r="D133">
        <f>SUM(I2:I119)</f>
        <v>218260</v>
      </c>
    </row>
    <row r="135" spans="2:10" ht="29" x14ac:dyDescent="0.35">
      <c r="B135" t="s">
        <v>125</v>
      </c>
      <c r="C135" s="1" t="s">
        <v>124</v>
      </c>
      <c r="F135" s="1"/>
    </row>
    <row r="137" spans="2:10" x14ac:dyDescent="0.35">
      <c r="B137" s="2" t="s">
        <v>127</v>
      </c>
    </row>
    <row r="140" spans="2:10" ht="29" x14ac:dyDescent="0.35">
      <c r="B140" s="1" t="s">
        <v>131</v>
      </c>
    </row>
    <row r="148" spans="5:6" x14ac:dyDescent="0.35">
      <c r="E148" s="3" t="s">
        <v>129</v>
      </c>
      <c r="F148" t="s">
        <v>128</v>
      </c>
    </row>
    <row r="149" spans="5:6" x14ac:dyDescent="0.35">
      <c r="E149" s="4" t="s">
        <v>20</v>
      </c>
      <c r="F149" s="5">
        <v>52310</v>
      </c>
    </row>
    <row r="150" spans="5:6" x14ac:dyDescent="0.35">
      <c r="E150" s="4" t="s">
        <v>12</v>
      </c>
      <c r="F150" s="5">
        <v>168750</v>
      </c>
    </row>
    <row r="151" spans="5:6" x14ac:dyDescent="0.35">
      <c r="E151" s="4" t="s">
        <v>130</v>
      </c>
      <c r="F151" s="5">
        <v>221060</v>
      </c>
    </row>
    <row r="164" spans="2:2" x14ac:dyDescent="0.35">
      <c r="B164" t="s">
        <v>132</v>
      </c>
    </row>
    <row r="183" spans="2:2" x14ac:dyDescent="0.35">
      <c r="B183" t="s">
        <v>133</v>
      </c>
    </row>
  </sheetData>
  <autoFilter ref="A1:I121" xr:uid="{00000000-0001-0000-0000-000000000000}">
    <filterColumn colId="2">
      <filters>
        <filter val="West"/>
      </filters>
    </filterColumn>
    <filterColumn colId="4">
      <filters>
        <filter val="Furniture"/>
      </filters>
    </filterColumn>
  </autoFilter>
  <conditionalFormatting sqref="G129:G130">
    <cfRule type="containsText" dxfId="0" priority="1" operator="containsText" text="Monitor">
      <formula>NOT(ISERROR(SEARCH("Monitor",G129)))</formula>
    </cfRule>
  </conditionalFormatting>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04D4-85F0-4761-8A95-1D14E02C5910}">
  <dimension ref="A1:B6"/>
  <sheetViews>
    <sheetView workbookViewId="0">
      <pane ySplit="1" topLeftCell="A4" activePane="bottomLeft" state="frozen"/>
      <selection pane="bottomLeft" activeCell="B6" sqref="B6"/>
    </sheetView>
  </sheetViews>
  <sheetFormatPr defaultRowHeight="14.5" x14ac:dyDescent="0.35"/>
  <cols>
    <col min="1" max="1" width="33.36328125" customWidth="1"/>
    <col min="2" max="2" width="64.6328125" customWidth="1"/>
  </cols>
  <sheetData>
    <row r="1" spans="1:2" x14ac:dyDescent="0.35">
      <c r="A1" t="s">
        <v>134</v>
      </c>
      <c r="B1" t="s">
        <v>135</v>
      </c>
    </row>
    <row r="2" spans="1:2" ht="106.5" customHeight="1" x14ac:dyDescent="0.35">
      <c r="A2" s="1" t="s">
        <v>136</v>
      </c>
      <c r="B2" s="1" t="s">
        <v>137</v>
      </c>
    </row>
    <row r="4" spans="1:2" ht="43.5" x14ac:dyDescent="0.35">
      <c r="A4" t="s">
        <v>138</v>
      </c>
      <c r="B4" s="1" t="s">
        <v>139</v>
      </c>
    </row>
    <row r="6" spans="1:2" ht="43.5" x14ac:dyDescent="0.35">
      <c r="A6" t="s">
        <v>140</v>
      </c>
      <c r="B6" s="1"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 Sales Data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Maia Black</cp:lastModifiedBy>
  <cp:revision/>
  <dcterms:created xsi:type="dcterms:W3CDTF">2026-04-09T23:31:24Z</dcterms:created>
  <dcterms:modified xsi:type="dcterms:W3CDTF">2026-04-11T16:08:08Z</dcterms:modified>
  <cp:category/>
  <cp:contentStatus/>
</cp:coreProperties>
</file>